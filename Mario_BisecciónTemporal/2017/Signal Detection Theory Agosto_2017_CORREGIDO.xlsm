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Alejandro\Desktop\"/>
    </mc:Choice>
  </mc:AlternateContent>
  <bookViews>
    <workbookView xWindow="0" yWindow="0" windowWidth="21570" windowHeight="8085" tabRatio="673" firstSheet="2" activeTab="7"/>
  </bookViews>
  <sheets>
    <sheet name="Data S_20 (1p-4p) Short-Signal" sheetId="1" r:id="rId1"/>
    <sheet name="Graph S_20 (1p-4p) Short-Signal" sheetId="3" r:id="rId2"/>
    <sheet name="Graph S_20 (1p-4p) Large-Signal" sheetId="5" r:id="rId3"/>
    <sheet name="Data S_20 (1p-4p) Large-Signal" sheetId="4" r:id="rId4"/>
    <sheet name="S_03 (1p-4p) Large-Signal" sheetId="6" r:id="rId5"/>
    <sheet name="S_33 (1p-4p) Large-Signal" sheetId="8" r:id="rId6"/>
    <sheet name="S_05 (1p-4p) Large-Signal" sheetId="7" r:id="rId7"/>
    <sheet name="Promedios" sheetId="9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39" i="9" l="1"/>
  <c r="AF6" i="9"/>
  <c r="I7" i="9"/>
  <c r="AF7" i="9"/>
  <c r="AF8" i="9"/>
  <c r="AF9" i="9"/>
  <c r="AF16" i="9"/>
  <c r="AF17" i="9"/>
  <c r="AF18" i="9"/>
  <c r="AF19" i="9"/>
  <c r="AF26" i="9"/>
  <c r="AF27" i="9"/>
  <c r="AF28" i="9"/>
  <c r="AG29" i="9" s="1"/>
  <c r="AF29" i="9"/>
  <c r="AF36" i="9"/>
  <c r="AF37" i="9"/>
  <c r="AF38" i="9"/>
  <c r="H46" i="9"/>
  <c r="H47" i="9"/>
  <c r="H48" i="9"/>
  <c r="H45" i="9"/>
  <c r="I46" i="9" s="1"/>
  <c r="H36" i="9"/>
  <c r="H37" i="9"/>
  <c r="H38" i="9"/>
  <c r="H35" i="9"/>
  <c r="I36" i="9" s="1"/>
  <c r="H26" i="9"/>
  <c r="H27" i="9"/>
  <c r="H28" i="9"/>
  <c r="H25" i="9"/>
  <c r="I26" i="9" s="1"/>
  <c r="H7" i="9"/>
  <c r="H8" i="9"/>
  <c r="I9" i="9" s="1"/>
  <c r="H9" i="9"/>
  <c r="H6" i="9"/>
  <c r="AG19" i="9" l="1"/>
  <c r="AG9" i="9"/>
  <c r="I38" i="9"/>
  <c r="I28" i="9"/>
  <c r="I48" i="9"/>
  <c r="AG27" i="9"/>
  <c r="AG37" i="9"/>
  <c r="AG17" i="9"/>
  <c r="AG39" i="9"/>
  <c r="AG7" i="9"/>
  <c r="S87" i="8"/>
  <c r="S86" i="8"/>
  <c r="S85" i="8"/>
  <c r="S84" i="8"/>
  <c r="S76" i="8"/>
  <c r="S75" i="8"/>
  <c r="T76" i="8" s="1"/>
  <c r="S74" i="8"/>
  <c r="S73" i="8"/>
  <c r="S65" i="8"/>
  <c r="S64" i="8"/>
  <c r="T65" i="8" s="1"/>
  <c r="S63" i="8"/>
  <c r="S62" i="8"/>
  <c r="S54" i="8"/>
  <c r="S53" i="8"/>
  <c r="S52" i="8"/>
  <c r="S51" i="8"/>
  <c r="S43" i="8"/>
  <c r="S42" i="8"/>
  <c r="S41" i="8"/>
  <c r="S40" i="8"/>
  <c r="S32" i="8"/>
  <c r="S31" i="8"/>
  <c r="S30" i="8"/>
  <c r="S29" i="8"/>
  <c r="S21" i="8"/>
  <c r="S20" i="8"/>
  <c r="S19" i="8"/>
  <c r="S18" i="8"/>
  <c r="S10" i="8"/>
  <c r="S9" i="8"/>
  <c r="S8" i="8"/>
  <c r="S7" i="8"/>
  <c r="S32" i="7"/>
  <c r="S29" i="7"/>
  <c r="S87" i="7"/>
  <c r="S86" i="7"/>
  <c r="T87" i="7" s="1"/>
  <c r="S85" i="7"/>
  <c r="S84" i="7"/>
  <c r="S76" i="7"/>
  <c r="S75" i="7"/>
  <c r="T76" i="7" s="1"/>
  <c r="S74" i="7"/>
  <c r="S73" i="7"/>
  <c r="S65" i="7"/>
  <c r="S64" i="7"/>
  <c r="T65" i="7" s="1"/>
  <c r="S63" i="7"/>
  <c r="S62" i="7"/>
  <c r="S54" i="7"/>
  <c r="S53" i="7"/>
  <c r="S52" i="7"/>
  <c r="S51" i="7"/>
  <c r="S43" i="7"/>
  <c r="S42" i="7"/>
  <c r="S41" i="7"/>
  <c r="S40" i="7"/>
  <c r="S31" i="7"/>
  <c r="S30" i="7"/>
  <c r="S21" i="7"/>
  <c r="S20" i="7"/>
  <c r="S19" i="7"/>
  <c r="S18" i="7"/>
  <c r="T19" i="7" s="1"/>
  <c r="F14" i="8"/>
  <c r="F72" i="8"/>
  <c r="C40" i="7"/>
  <c r="F15" i="7"/>
  <c r="F17" i="7"/>
  <c r="F48" i="8"/>
  <c r="M96" i="7"/>
  <c r="F46" i="8"/>
  <c r="M94" i="8"/>
  <c r="F73" i="7"/>
  <c r="F75" i="7"/>
  <c r="C41" i="8"/>
  <c r="F47" i="8"/>
  <c r="F47" i="7"/>
  <c r="F45" i="8"/>
  <c r="F17" i="8"/>
  <c r="M96" i="8"/>
  <c r="F16" i="7"/>
  <c r="C40" i="8"/>
  <c r="M93" i="7"/>
  <c r="C42" i="7"/>
  <c r="F72" i="7"/>
  <c r="F15" i="8"/>
  <c r="C43" i="7"/>
  <c r="M93" i="8"/>
  <c r="F14" i="7"/>
  <c r="F48" i="7"/>
  <c r="M95" i="7"/>
  <c r="M94" i="7"/>
  <c r="F75" i="8"/>
  <c r="F74" i="8"/>
  <c r="C41" i="7"/>
  <c r="F16" i="8"/>
  <c r="C42" i="8"/>
  <c r="F46" i="7"/>
  <c r="F73" i="8"/>
  <c r="C43" i="8"/>
  <c r="F74" i="7"/>
  <c r="M95" i="8"/>
  <c r="F45" i="7"/>
  <c r="T85" i="8" l="1"/>
  <c r="T87" i="8"/>
  <c r="T63" i="8"/>
  <c r="T43" i="8"/>
  <c r="T54" i="8"/>
  <c r="T41" i="8"/>
  <c r="T52" i="8"/>
  <c r="T30" i="8"/>
  <c r="T19" i="8"/>
  <c r="T21" i="8"/>
  <c r="T8" i="8"/>
  <c r="T32" i="8"/>
  <c r="T74" i="8"/>
  <c r="T10" i="8"/>
  <c r="T85" i="7"/>
  <c r="T63" i="7"/>
  <c r="T54" i="7"/>
  <c r="T52" i="7"/>
  <c r="T41" i="7"/>
  <c r="T43" i="7"/>
  <c r="T30" i="7"/>
  <c r="S8" i="7"/>
  <c r="S9" i="7"/>
  <c r="S7" i="7"/>
  <c r="T8" i="7" s="1"/>
  <c r="S10" i="7"/>
  <c r="T10" i="7" s="1"/>
  <c r="T74" i="7"/>
  <c r="T32" i="7"/>
  <c r="T21" i="7"/>
  <c r="S87" i="6"/>
  <c r="S86" i="6"/>
  <c r="S85" i="6"/>
  <c r="S84" i="6"/>
  <c r="T85" i="6" s="1"/>
  <c r="S76" i="6"/>
  <c r="S75" i="6"/>
  <c r="T76" i="6" s="1"/>
  <c r="S74" i="6"/>
  <c r="S73" i="6"/>
  <c r="S65" i="6"/>
  <c r="T65" i="6" s="1"/>
  <c r="S64" i="6"/>
  <c r="S63" i="6"/>
  <c r="S62" i="6"/>
  <c r="T63" i="6" s="1"/>
  <c r="S54" i="6"/>
  <c r="S53" i="6"/>
  <c r="S52" i="6"/>
  <c r="S51" i="6"/>
  <c r="S43" i="6"/>
  <c r="S42" i="6"/>
  <c r="S41" i="6"/>
  <c r="S40" i="6"/>
  <c r="T41" i="6" s="1"/>
  <c r="S32" i="6"/>
  <c r="S31" i="6"/>
  <c r="T32" i="6" s="1"/>
  <c r="S30" i="6"/>
  <c r="S29" i="6"/>
  <c r="S21" i="6"/>
  <c r="S20" i="6"/>
  <c r="S19" i="6"/>
  <c r="S18" i="6"/>
  <c r="S10" i="6"/>
  <c r="S9" i="6"/>
  <c r="S8" i="6"/>
  <c r="S7" i="6"/>
  <c r="F14" i="6"/>
  <c r="F73" i="6"/>
  <c r="C43" i="6"/>
  <c r="F47" i="6"/>
  <c r="F74" i="6"/>
  <c r="M95" i="6"/>
  <c r="F16" i="6"/>
  <c r="M94" i="6"/>
  <c r="F48" i="6"/>
  <c r="C41" i="6"/>
  <c r="M96" i="6"/>
  <c r="F75" i="6"/>
  <c r="F46" i="6"/>
  <c r="F72" i="6"/>
  <c r="C40" i="6"/>
  <c r="M93" i="6"/>
  <c r="F15" i="6"/>
  <c r="F17" i="6"/>
  <c r="C42" i="6"/>
  <c r="F45" i="6"/>
  <c r="T87" i="6" l="1"/>
  <c r="T54" i="6"/>
  <c r="T52" i="6"/>
  <c r="T43" i="6"/>
  <c r="T30" i="6"/>
  <c r="T21" i="6"/>
  <c r="T19" i="6"/>
  <c r="T10" i="6"/>
  <c r="T8" i="6"/>
  <c r="T74" i="6"/>
  <c r="S87" i="4"/>
  <c r="S86" i="4"/>
  <c r="T87" i="4" s="1"/>
  <c r="S85" i="4"/>
  <c r="S84" i="4"/>
  <c r="T85" i="4" s="1"/>
  <c r="S76" i="4"/>
  <c r="S75" i="4"/>
  <c r="T76" i="4" s="1"/>
  <c r="S74" i="4"/>
  <c r="S73" i="4"/>
  <c r="S65" i="4"/>
  <c r="S64" i="4"/>
  <c r="T65" i="4" s="1"/>
  <c r="S63" i="4"/>
  <c r="S62" i="4"/>
  <c r="T63" i="4" s="1"/>
  <c r="S54" i="4"/>
  <c r="S53" i="4"/>
  <c r="S52" i="4"/>
  <c r="S51" i="4"/>
  <c r="T52" i="4" s="1"/>
  <c r="S43" i="4"/>
  <c r="S42" i="4"/>
  <c r="S41" i="4"/>
  <c r="S40" i="4"/>
  <c r="T41" i="4" s="1"/>
  <c r="S32" i="4"/>
  <c r="S31" i="4"/>
  <c r="S30" i="4"/>
  <c r="S29" i="4"/>
  <c r="S21" i="4"/>
  <c r="S20" i="4"/>
  <c r="S19" i="4"/>
  <c r="S18" i="4"/>
  <c r="M94" i="4"/>
  <c r="C41" i="4"/>
  <c r="C41" i="5"/>
  <c r="M95" i="4"/>
  <c r="C42" i="5"/>
  <c r="C49" i="5"/>
  <c r="C46" i="5"/>
  <c r="M96" i="4"/>
  <c r="C43" i="5"/>
  <c r="C42" i="4"/>
  <c r="C43" i="4"/>
  <c r="M93" i="4"/>
  <c r="C48" i="5"/>
  <c r="C40" i="4"/>
  <c r="C40" i="5"/>
  <c r="C47" i="5"/>
  <c r="T43" i="4" l="1"/>
  <c r="T32" i="4"/>
  <c r="T19" i="4"/>
  <c r="T21" i="4"/>
  <c r="S7" i="4"/>
  <c r="S8" i="4"/>
  <c r="T8" i="4" s="1"/>
  <c r="S9" i="4"/>
  <c r="S10" i="4"/>
  <c r="T74" i="4"/>
  <c r="T54" i="4"/>
  <c r="T30" i="4"/>
  <c r="T87" i="1"/>
  <c r="T85" i="1"/>
  <c r="S85" i="1"/>
  <c r="S86" i="1"/>
  <c r="S87" i="1"/>
  <c r="S84" i="1"/>
  <c r="T76" i="1"/>
  <c r="T74" i="1"/>
  <c r="T65" i="1"/>
  <c r="T63" i="1"/>
  <c r="T54" i="1"/>
  <c r="T52" i="1"/>
  <c r="S52" i="1"/>
  <c r="S53" i="1"/>
  <c r="S54" i="1"/>
  <c r="S62" i="1"/>
  <c r="S63" i="1"/>
  <c r="S64" i="1"/>
  <c r="S65" i="1"/>
  <c r="S73" i="1"/>
  <c r="S74" i="1"/>
  <c r="S75" i="1"/>
  <c r="S76" i="1"/>
  <c r="S51" i="1"/>
  <c r="T30" i="1"/>
  <c r="S30" i="1"/>
  <c r="S31" i="1"/>
  <c r="S32" i="1"/>
  <c r="T32" i="1" s="1"/>
  <c r="S40" i="1"/>
  <c r="T41" i="1" s="1"/>
  <c r="S41" i="1"/>
  <c r="S42" i="1"/>
  <c r="T43" i="1" s="1"/>
  <c r="S43" i="1"/>
  <c r="S29" i="1"/>
  <c r="T21" i="1"/>
  <c r="T19" i="1"/>
  <c r="T10" i="1"/>
  <c r="T8" i="1"/>
  <c r="S8" i="1"/>
  <c r="S9" i="1"/>
  <c r="S10" i="1"/>
  <c r="S18" i="1"/>
  <c r="S19" i="1"/>
  <c r="S20" i="1"/>
  <c r="S21" i="1"/>
  <c r="S7" i="1"/>
  <c r="D45" i="3"/>
  <c r="L93" i="1"/>
  <c r="L99" i="1"/>
  <c r="D39" i="3"/>
  <c r="L97" i="1"/>
  <c r="L98" i="1"/>
  <c r="L91" i="1"/>
  <c r="D43" i="3"/>
  <c r="D40" i="3"/>
  <c r="D37" i="3"/>
  <c r="L96" i="1"/>
  <c r="D46" i="3"/>
  <c r="L90" i="1"/>
  <c r="D38" i="3"/>
  <c r="D44" i="3"/>
  <c r="L92" i="1"/>
  <c r="T10" i="4" l="1"/>
  <c r="D39" i="1"/>
  <c r="D37" i="1"/>
  <c r="D38" i="1"/>
  <c r="D40" i="1"/>
</calcChain>
</file>

<file path=xl/sharedStrings.xml><?xml version="1.0" encoding="utf-8"?>
<sst xmlns="http://schemas.openxmlformats.org/spreadsheetml/2006/main" count="613" uniqueCount="82">
  <si>
    <t>MARIO PC AGOSTO/2017</t>
  </si>
  <si>
    <r>
      <rPr>
        <b/>
        <sz val="12"/>
        <color rgb="FF0070C0"/>
        <rFont val="Consolas"/>
        <family val="3"/>
      </rPr>
      <t>SDTheory</t>
    </r>
    <r>
      <rPr>
        <sz val="12"/>
        <rFont val="Consolas"/>
        <family val="3"/>
      </rPr>
      <t xml:space="preserve">: tenemos 7 duraciones, eliminamos la duración intermedia; </t>
    </r>
  </si>
  <si>
    <t>las 3 primeras serán signal y las 3 últimas serán noise</t>
  </si>
  <si>
    <t>hit rate (h)</t>
  </si>
  <si>
    <t xml:space="preserve"># resp a ensayos durante ensayos de la señal / # de ensayos totales de señal  </t>
  </si>
  <si>
    <r>
      <t xml:space="preserve">respuestas al </t>
    </r>
    <r>
      <rPr>
        <b/>
        <sz val="11"/>
        <color rgb="FF0070C0"/>
        <rFont val="Consolas"/>
        <family val="3"/>
      </rPr>
      <t xml:space="preserve">tono corto, intermedio1, intermedio2 </t>
    </r>
    <r>
      <rPr>
        <sz val="11"/>
        <rFont val="Consolas"/>
        <family val="3"/>
      </rPr>
      <t>entre</t>
    </r>
  </si>
  <si>
    <t>ESTAS SON LAS DIVISIONES QUE</t>
  </si>
  <si>
    <r>
      <t xml:space="preserve">ensayos de </t>
    </r>
    <r>
      <rPr>
        <b/>
        <sz val="11"/>
        <color rgb="FF0070C0"/>
        <rFont val="Consolas"/>
        <family val="3"/>
      </rPr>
      <t>tono corto, intermedio1, intermedio2</t>
    </r>
  </si>
  <si>
    <t>INVOLUCRAN AL ARREGLO Z:</t>
  </si>
  <si>
    <t>RESPONDIENDO CORTO CUANDO</t>
  </si>
  <si>
    <t>H</t>
  </si>
  <si>
    <r>
      <rPr>
        <b/>
        <sz val="11"/>
        <color rgb="FF00B050"/>
        <rFont val="Arial"/>
        <family val="2"/>
      </rPr>
      <t>Resp. Z(16), z(36), z(37)</t>
    </r>
    <r>
      <rPr>
        <b/>
        <sz val="11"/>
        <rFont val="Arial"/>
        <family val="2"/>
      </rPr>
      <t xml:space="preserve"> </t>
    </r>
    <r>
      <rPr>
        <b/>
        <sz val="11"/>
        <color indexed="53"/>
        <rFont val="Arial"/>
        <family val="2"/>
      </rPr>
      <t>DIVIDIDOS SOBRE</t>
    </r>
  </si>
  <si>
    <t>ES CORTO</t>
  </si>
  <si>
    <t>Ens. Z(12), z(26), z(27)</t>
  </si>
  <si>
    <t>false alarm rate (f)</t>
  </si>
  <si>
    <t># de respuestas cuando no hay señal, falsas alarmas / # de ensayos totales de ruido</t>
  </si>
  <si>
    <r>
      <t xml:space="preserve">respuestas al </t>
    </r>
    <r>
      <rPr>
        <b/>
        <sz val="11"/>
        <color rgb="FF0070C0"/>
        <rFont val="Consolas"/>
        <family val="3"/>
      </rPr>
      <t>intermedio4, intermedio5, tono largo</t>
    </r>
  </si>
  <si>
    <r>
      <t xml:space="preserve">ensayos de </t>
    </r>
    <r>
      <rPr>
        <b/>
        <sz val="11"/>
        <color rgb="FF0070C0"/>
        <rFont val="Consolas"/>
        <family val="3"/>
      </rPr>
      <t>intermedio4, intermedio5, tono largo</t>
    </r>
  </si>
  <si>
    <t>FA2</t>
  </si>
  <si>
    <t>ES LARGO</t>
  </si>
  <si>
    <t>Ens. z(29), z(46), z(13)</t>
  </si>
  <si>
    <t>miss rate=1-h</t>
  </si>
  <si>
    <t>correct rejection= 1-f</t>
  </si>
  <si>
    <t>RESPONDIENDO LARGO CUANDO</t>
  </si>
  <si>
    <r>
      <t xml:space="preserve">Resp. z(39), z(48), </t>
    </r>
    <r>
      <rPr>
        <b/>
        <sz val="11"/>
        <color rgb="FF0070C0"/>
        <rFont val="Arial"/>
        <family val="2"/>
      </rPr>
      <t>z(19)</t>
    </r>
    <r>
      <rPr>
        <b/>
        <sz val="11"/>
        <color rgb="FF00B050"/>
        <rFont val="Arial"/>
        <family val="2"/>
      </rPr>
      <t xml:space="preserve"> </t>
    </r>
    <r>
      <rPr>
        <b/>
        <sz val="11"/>
        <color indexed="53"/>
        <rFont val="Arial"/>
        <family val="2"/>
      </rPr>
      <t>DIVIDIDOS SOBRE</t>
    </r>
  </si>
  <si>
    <t>1 PELLET VS 4 PELLETS</t>
  </si>
  <si>
    <t>SUJ 20</t>
  </si>
  <si>
    <t>10 SESIONES EN LÍNEA BASE Y 10 SUJETOS EN MAFNITUD</t>
  </si>
  <si>
    <t>LINEA BASE</t>
  </si>
  <si>
    <t>DÍA</t>
  </si>
  <si>
    <t>0.5-2.0</t>
  </si>
  <si>
    <t>HITS</t>
  </si>
  <si>
    <t>FA 2</t>
  </si>
  <si>
    <t>MAGNITUD</t>
  </si>
  <si>
    <t>1.0  - 4.0</t>
  </si>
  <si>
    <t>2.0  - 8.0</t>
  </si>
  <si>
    <t>3.0  - 12.0</t>
  </si>
  <si>
    <t>Tamaño: 14cm x 14cm</t>
  </si>
  <si>
    <t>10 SESIONES EN LÍNEA BASE Y 10 SESIONES EN MAGNITUD</t>
  </si>
  <si>
    <r>
      <t xml:space="preserve">PARA ESTE SUJETO LAS DURACIONES LARGAS (2.0", 4.0", 8.0" Y 12.0") </t>
    </r>
    <r>
      <rPr>
        <sz val="11"/>
        <rFont val="Consolas"/>
        <family val="3"/>
      </rPr>
      <t>SE REFORZARON CON 4 PELLETS</t>
    </r>
    <r>
      <rPr>
        <b/>
        <sz val="11"/>
        <rFont val="Consolas"/>
        <family val="3"/>
      </rPr>
      <t xml:space="preserve"> </t>
    </r>
    <r>
      <rPr>
        <sz val="11"/>
        <rFont val="Consolas"/>
        <family val="3"/>
      </rPr>
      <t xml:space="preserve"> </t>
    </r>
  </si>
  <si>
    <t>SUJETO 20</t>
  </si>
  <si>
    <t>Yo haciendo en donde largos son señal (sujeto 20, 1p-4p)</t>
  </si>
  <si>
    <t>las 3 primeras serán RUIDO y las 3 últimas serán SEÑAL</t>
  </si>
  <si>
    <r>
      <t xml:space="preserve">ensayos de </t>
    </r>
    <r>
      <rPr>
        <b/>
        <sz val="11"/>
        <color rgb="FF0070C0"/>
        <rFont val="Consolas"/>
        <family val="3"/>
      </rPr>
      <t>tono LARGO, intermedio4, intermedio5</t>
    </r>
  </si>
  <si>
    <r>
      <t xml:space="preserve">ensayos de </t>
    </r>
    <r>
      <rPr>
        <b/>
        <sz val="11"/>
        <color rgb="FF0070C0"/>
        <rFont val="Consolas"/>
        <family val="3"/>
      </rPr>
      <t>intermedio1, intermedio2, tono CORTO</t>
    </r>
  </si>
  <si>
    <r>
      <t xml:space="preserve">respuestas LARGAS al </t>
    </r>
    <r>
      <rPr>
        <b/>
        <sz val="11"/>
        <color rgb="FF0070C0"/>
        <rFont val="Consolas"/>
        <family val="3"/>
      </rPr>
      <t>intermedio1, intermedio2, tono CORTO</t>
    </r>
  </si>
  <si>
    <r>
      <t xml:space="preserve">respuestas LARGAS al </t>
    </r>
    <r>
      <rPr>
        <b/>
        <sz val="11"/>
        <color rgb="FF0070C0"/>
        <rFont val="Consolas"/>
        <family val="3"/>
      </rPr>
      <t xml:space="preserve">tono LARGO, intermedio4, intermedio5 </t>
    </r>
    <r>
      <rPr>
        <sz val="11"/>
        <rFont val="Consolas"/>
        <family val="3"/>
      </rPr>
      <t>entre</t>
    </r>
  </si>
  <si>
    <r>
      <rPr>
        <b/>
        <sz val="11"/>
        <color rgb="FF00B050"/>
        <rFont val="Arial"/>
        <family val="2"/>
      </rPr>
      <t>Resp. Z(18), z(34), z(47)</t>
    </r>
    <r>
      <rPr>
        <b/>
        <sz val="11"/>
        <rFont val="Arial"/>
        <family val="2"/>
      </rPr>
      <t xml:space="preserve"> </t>
    </r>
    <r>
      <rPr>
        <b/>
        <sz val="11"/>
        <color indexed="53"/>
        <rFont val="Arial"/>
        <family val="2"/>
      </rPr>
      <t>DIVIDIDOS SOBRE</t>
    </r>
  </si>
  <si>
    <t>Ens. Z(13), z(29), z(46)</t>
  </si>
  <si>
    <r>
      <t xml:space="preserve">Resp. z(17), z(31), </t>
    </r>
    <r>
      <rPr>
        <b/>
        <sz val="11"/>
        <color rgb="FF0070C0"/>
        <rFont val="Arial"/>
        <family val="2"/>
      </rPr>
      <t>z(32)</t>
    </r>
    <r>
      <rPr>
        <b/>
        <sz val="11"/>
        <color rgb="FF00B050"/>
        <rFont val="Arial"/>
        <family val="2"/>
      </rPr>
      <t xml:space="preserve"> </t>
    </r>
    <r>
      <rPr>
        <b/>
        <sz val="11"/>
        <color indexed="53"/>
        <rFont val="Arial"/>
        <family val="2"/>
      </rPr>
      <t>DIVIDIDOS SOBRE</t>
    </r>
  </si>
  <si>
    <t>Ens. z(12), z(26), z(27)</t>
  </si>
  <si>
    <t>Large-Signal</t>
  </si>
  <si>
    <t>MARIO PC AGOSTO / 2017</t>
  </si>
  <si>
    <t>las 3 primeras serán SEÑAL y las 3 últimas serán RUIDO</t>
  </si>
  <si>
    <r>
      <t xml:space="preserve">respuestas LARGAS al </t>
    </r>
    <r>
      <rPr>
        <b/>
        <sz val="11"/>
        <color rgb="FF0070C0"/>
        <rFont val="Consolas"/>
        <family val="3"/>
      </rPr>
      <t xml:space="preserve">intermedio1, intermedio2, tono CORTO </t>
    </r>
    <r>
      <rPr>
        <sz val="11"/>
        <rFont val="Consolas"/>
        <family val="3"/>
      </rPr>
      <t>entre</t>
    </r>
  </si>
  <si>
    <t>largo es señal</t>
  </si>
  <si>
    <r>
      <t xml:space="preserve">Başak Akdoğan &amp; Fuat Balcı (2016) en donde </t>
    </r>
    <r>
      <rPr>
        <b/>
        <sz val="12"/>
        <color rgb="FFFF0000"/>
        <rFont val="Arial"/>
        <family val="2"/>
      </rPr>
      <t>estímulos cortos son señal</t>
    </r>
    <r>
      <rPr>
        <b/>
        <sz val="10"/>
        <color rgb="FFFF0000"/>
        <rFont val="Arial"/>
        <family val="2"/>
      </rPr>
      <t xml:space="preserve"> </t>
    </r>
  </si>
  <si>
    <r>
      <t xml:space="preserve">Yo, en donde los </t>
    </r>
    <r>
      <rPr>
        <b/>
        <sz val="12"/>
        <color rgb="FFFF0000"/>
        <rFont val="Arial"/>
        <family val="2"/>
      </rPr>
      <t>estímulos largos son señal</t>
    </r>
    <r>
      <rPr>
        <b/>
        <sz val="11"/>
        <color rgb="FF0070C0"/>
        <rFont val="Arial"/>
        <family val="2"/>
      </rPr>
      <t xml:space="preserve"> </t>
    </r>
  </si>
  <si>
    <t>SUJETO 03</t>
  </si>
  <si>
    <t>SUJ 03</t>
  </si>
  <si>
    <t>Yo haciendo en donde largos son señal (1p-4p)</t>
  </si>
  <si>
    <t>0.5  - 2.0</t>
  </si>
  <si>
    <t>2.0 - 8.0</t>
  </si>
  <si>
    <t>SUJETO 05</t>
  </si>
  <si>
    <t>SUJ 05</t>
  </si>
  <si>
    <t>SUJETO 33</t>
  </si>
  <si>
    <t>SUJ 33</t>
  </si>
  <si>
    <t>1.0 - 4.0</t>
  </si>
  <si>
    <t>0.5 - 2.0</t>
  </si>
  <si>
    <t>suj</t>
  </si>
  <si>
    <t>hits</t>
  </si>
  <si>
    <t>fa</t>
  </si>
  <si>
    <t>Lïnea base</t>
  </si>
  <si>
    <t>Magnitud</t>
  </si>
  <si>
    <t>3.0 - 12.0</t>
  </si>
  <si>
    <t>Promedios</t>
  </si>
  <si>
    <t>K</t>
  </si>
  <si>
    <t>C</t>
  </si>
  <si>
    <t>D</t>
  </si>
  <si>
    <t>HR</t>
  </si>
  <si>
    <t>FA</t>
  </si>
  <si>
    <t>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</si>
</sst>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sz val="12"/>
      <name val="Consolas"/>
      <family val="3"/>
    </font>
    <font>
      <b/>
      <sz val="12"/>
      <color rgb="FF0070C0"/>
      <name val="Consolas"/>
      <family val="3"/>
    </font>
    <font>
      <sz val="12"/>
      <color theme="1"/>
      <name val="Consolas"/>
      <family val="3"/>
    </font>
    <font>
      <b/>
      <sz val="11"/>
      <color rgb="FF0070C0"/>
      <name val="Consolas"/>
      <family val="3"/>
    </font>
    <font>
      <sz val="11"/>
      <name val="Consolas"/>
      <family val="3"/>
    </font>
    <font>
      <b/>
      <sz val="11"/>
      <name val="Arial"/>
      <family val="2"/>
    </font>
    <font>
      <b/>
      <sz val="11"/>
      <color rgb="FF00B050"/>
      <name val="Arial"/>
      <family val="2"/>
    </font>
    <font>
      <b/>
      <sz val="11"/>
      <color indexed="53"/>
      <name val="Arial"/>
      <family val="2"/>
    </font>
    <font>
      <b/>
      <sz val="11"/>
      <color rgb="FF0070C0"/>
      <name val="Arial"/>
      <family val="2"/>
    </font>
    <font>
      <b/>
      <sz val="11"/>
      <name val="Consolas"/>
      <family val="3"/>
    </font>
    <font>
      <sz val="11"/>
      <color rgb="FF0070C0"/>
      <name val="Consolas"/>
      <family val="3"/>
    </font>
    <font>
      <sz val="10"/>
      <name val="Arial"/>
      <family val="2"/>
    </font>
    <font>
      <b/>
      <sz val="10"/>
      <color rgb="FF0070C0"/>
      <name val="Arial"/>
      <family val="2"/>
    </font>
    <font>
      <b/>
      <sz val="12"/>
      <color rgb="FFFF0000"/>
      <name val="Arial"/>
      <family val="2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on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2" fillId="0" borderId="0" xfId="0" applyNumberFormat="1" applyFont="1" applyFill="1" applyBorder="1" applyAlignment="1">
      <alignment horizontal="center"/>
    </xf>
    <xf numFmtId="0" fontId="2" fillId="0" borderId="0" xfId="0" applyNumberFormat="1" applyFont="1" applyFill="1" applyBorder="1" applyAlignment="1"/>
    <xf numFmtId="0" fontId="0" fillId="0" borderId="0" xfId="0" applyNumberFormat="1" applyFont="1" applyFill="1" applyBorder="1" applyAlignment="1"/>
    <xf numFmtId="0" fontId="4" fillId="0" borderId="0" xfId="0" applyFont="1" applyAlignment="1">
      <alignment horizontal="center"/>
    </xf>
    <xf numFmtId="0" fontId="4" fillId="0" borderId="0" xfId="0" applyFont="1"/>
    <xf numFmtId="0" fontId="5" fillId="0" borderId="0" xfId="0" applyNumberFormat="1" applyFont="1" applyFill="1" applyBorder="1" applyAlignment="1"/>
    <xf numFmtId="0" fontId="1" fillId="0" borderId="0" xfId="0" applyNumberFormat="1" applyFont="1" applyFill="1" applyBorder="1" applyAlignment="1"/>
    <xf numFmtId="0" fontId="6" fillId="0" borderId="0" xfId="0" applyNumberFormat="1" applyFont="1" applyFill="1" applyBorder="1" applyAlignment="1">
      <alignment horizontal="center"/>
    </xf>
    <xf numFmtId="0" fontId="6" fillId="0" borderId="0" xfId="0" applyNumberFormat="1" applyFont="1" applyFill="1" applyBorder="1" applyAlignment="1"/>
    <xf numFmtId="0" fontId="7" fillId="2" borderId="1" xfId="0" applyNumberFormat="1" applyFont="1" applyFill="1" applyBorder="1" applyAlignment="1">
      <alignment horizontal="center"/>
    </xf>
    <xf numFmtId="0" fontId="7" fillId="2" borderId="2" xfId="0" applyNumberFormat="1" applyFont="1" applyFill="1" applyBorder="1" applyAlignment="1">
      <alignment horizontal="center"/>
    </xf>
    <xf numFmtId="0" fontId="5" fillId="0" borderId="1" xfId="0" applyNumberFormat="1" applyFont="1" applyFill="1" applyBorder="1" applyAlignment="1">
      <alignment horizontal="center"/>
    </xf>
    <xf numFmtId="0" fontId="7" fillId="0" borderId="3" xfId="0" applyNumberFormat="1" applyFont="1" applyFill="1" applyBorder="1" applyAlignment="1">
      <alignment horizontal="center"/>
    </xf>
    <xf numFmtId="0" fontId="5" fillId="0" borderId="2" xfId="0" applyNumberFormat="1" applyFont="1" applyFill="1" applyBorder="1" applyAlignment="1">
      <alignment horizontal="center"/>
    </xf>
    <xf numFmtId="0" fontId="8" fillId="0" borderId="3" xfId="0" applyNumberFormat="1" applyFont="1" applyFill="1" applyBorder="1" applyAlignment="1">
      <alignment horizontal="center"/>
    </xf>
    <xf numFmtId="0" fontId="0" fillId="0" borderId="0" xfId="0" applyNumberFormat="1" applyFont="1" applyFill="1" applyBorder="1" applyAlignment="1">
      <alignment horizontal="center"/>
    </xf>
    <xf numFmtId="0" fontId="5" fillId="0" borderId="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3" xfId="0" applyFont="1" applyBorder="1"/>
    <xf numFmtId="0" fontId="12" fillId="0" borderId="0" xfId="0" applyFont="1" applyAlignment="1">
      <alignment horizontal="center"/>
    </xf>
    <xf numFmtId="0" fontId="13" fillId="0" borderId="0" xfId="0" applyNumberFormat="1" applyFont="1" applyFill="1" applyBorder="1" applyAlignment="1"/>
    <xf numFmtId="0" fontId="13" fillId="0" borderId="1" xfId="0" applyNumberFormat="1" applyFont="1" applyFill="1" applyBorder="1" applyAlignment="1">
      <alignment horizontal="center"/>
    </xf>
    <xf numFmtId="0" fontId="13" fillId="0" borderId="2" xfId="0" applyNumberFormat="1" applyFont="1" applyFill="1" applyBorder="1" applyAlignment="1">
      <alignment horizontal="center"/>
    </xf>
    <xf numFmtId="0" fontId="0" fillId="0" borderId="3" xfId="0" applyBorder="1"/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0" fillId="0" borderId="0" xfId="0" applyBorder="1"/>
    <xf numFmtId="0" fontId="5" fillId="0" borderId="0" xfId="0" applyFont="1" applyBorder="1" applyAlignment="1">
      <alignment horizontal="center"/>
    </xf>
    <xf numFmtId="0" fontId="13" fillId="0" borderId="0" xfId="0" applyNumberFormat="1" applyFont="1" applyFill="1" applyBorder="1" applyAlignment="1">
      <alignment horizontal="center"/>
    </xf>
    <xf numFmtId="0" fontId="14" fillId="0" borderId="0" xfId="0" applyNumberFormat="1" applyFont="1" applyFill="1" applyBorder="1" applyAlignment="1"/>
    <xf numFmtId="0" fontId="10" fillId="0" borderId="0" xfId="0" applyNumberFormat="1" applyFont="1" applyFill="1" applyBorder="1" applyAlignment="1"/>
    <xf numFmtId="0" fontId="17" fillId="0" borderId="0" xfId="0" applyFont="1"/>
    <xf numFmtId="0" fontId="0" fillId="0" borderId="0" xfId="0" applyAlignment="1">
      <alignment horizontal="center"/>
    </xf>
    <xf numFmtId="0" fontId="18" fillId="0" borderId="0" xfId="0" applyFont="1"/>
    <xf numFmtId="0" fontId="17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13" Type="http://schemas.openxmlformats.org/officeDocument/2006/relationships/image" Target="../media/image29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12" Type="http://schemas.openxmlformats.org/officeDocument/2006/relationships/image" Target="../media/image28.emf"/><Relationship Id="rId2" Type="http://schemas.openxmlformats.org/officeDocument/2006/relationships/image" Target="../media/image18.emf"/><Relationship Id="rId16" Type="http://schemas.openxmlformats.org/officeDocument/2006/relationships/image" Target="../media/image32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11" Type="http://schemas.openxmlformats.org/officeDocument/2006/relationships/image" Target="../media/image27.emf"/><Relationship Id="rId5" Type="http://schemas.openxmlformats.org/officeDocument/2006/relationships/image" Target="../media/image21.emf"/><Relationship Id="rId15" Type="http://schemas.openxmlformats.org/officeDocument/2006/relationships/image" Target="../media/image31.emf"/><Relationship Id="rId10" Type="http://schemas.openxmlformats.org/officeDocument/2006/relationships/image" Target="../media/image26.emf"/><Relationship Id="rId4" Type="http://schemas.openxmlformats.org/officeDocument/2006/relationships/image" Target="../media/image20.emf"/><Relationship Id="rId9" Type="http://schemas.openxmlformats.org/officeDocument/2006/relationships/image" Target="../media/image25.emf"/><Relationship Id="rId14" Type="http://schemas.openxmlformats.org/officeDocument/2006/relationships/image" Target="../media/image30.emf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13" Type="http://schemas.openxmlformats.org/officeDocument/2006/relationships/image" Target="../media/image29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12" Type="http://schemas.openxmlformats.org/officeDocument/2006/relationships/image" Target="../media/image28.emf"/><Relationship Id="rId2" Type="http://schemas.openxmlformats.org/officeDocument/2006/relationships/image" Target="../media/image18.emf"/><Relationship Id="rId16" Type="http://schemas.openxmlformats.org/officeDocument/2006/relationships/image" Target="../media/image32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11" Type="http://schemas.openxmlformats.org/officeDocument/2006/relationships/image" Target="../media/image27.emf"/><Relationship Id="rId5" Type="http://schemas.openxmlformats.org/officeDocument/2006/relationships/image" Target="../media/image21.emf"/><Relationship Id="rId15" Type="http://schemas.openxmlformats.org/officeDocument/2006/relationships/image" Target="../media/image31.emf"/><Relationship Id="rId10" Type="http://schemas.openxmlformats.org/officeDocument/2006/relationships/image" Target="../media/image26.emf"/><Relationship Id="rId4" Type="http://schemas.openxmlformats.org/officeDocument/2006/relationships/image" Target="../media/image20.emf"/><Relationship Id="rId9" Type="http://schemas.openxmlformats.org/officeDocument/2006/relationships/image" Target="../media/image25.emf"/><Relationship Id="rId14" Type="http://schemas.openxmlformats.org/officeDocument/2006/relationships/image" Target="../media/image30.em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0.emf"/><Relationship Id="rId13" Type="http://schemas.openxmlformats.org/officeDocument/2006/relationships/image" Target="../media/image45.emf"/><Relationship Id="rId3" Type="http://schemas.openxmlformats.org/officeDocument/2006/relationships/image" Target="../media/image35.emf"/><Relationship Id="rId7" Type="http://schemas.openxmlformats.org/officeDocument/2006/relationships/image" Target="../media/image39.emf"/><Relationship Id="rId12" Type="http://schemas.openxmlformats.org/officeDocument/2006/relationships/image" Target="../media/image44.emf"/><Relationship Id="rId2" Type="http://schemas.openxmlformats.org/officeDocument/2006/relationships/image" Target="../media/image34.emf"/><Relationship Id="rId16" Type="http://schemas.openxmlformats.org/officeDocument/2006/relationships/image" Target="../media/image48.emf"/><Relationship Id="rId1" Type="http://schemas.openxmlformats.org/officeDocument/2006/relationships/image" Target="../media/image33.emf"/><Relationship Id="rId6" Type="http://schemas.openxmlformats.org/officeDocument/2006/relationships/image" Target="../media/image38.emf"/><Relationship Id="rId11" Type="http://schemas.openxmlformats.org/officeDocument/2006/relationships/image" Target="../media/image43.emf"/><Relationship Id="rId5" Type="http://schemas.openxmlformats.org/officeDocument/2006/relationships/image" Target="../media/image37.emf"/><Relationship Id="rId15" Type="http://schemas.openxmlformats.org/officeDocument/2006/relationships/image" Target="../media/image47.emf"/><Relationship Id="rId10" Type="http://schemas.openxmlformats.org/officeDocument/2006/relationships/image" Target="../media/image42.emf"/><Relationship Id="rId4" Type="http://schemas.openxmlformats.org/officeDocument/2006/relationships/image" Target="../media/image36.emf"/><Relationship Id="rId9" Type="http://schemas.openxmlformats.org/officeDocument/2006/relationships/image" Target="../media/image41.emf"/><Relationship Id="rId14" Type="http://schemas.openxmlformats.org/officeDocument/2006/relationships/image" Target="../media/image4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83347</xdr:colOff>
      <xdr:row>0</xdr:row>
      <xdr:rowOff>178595</xdr:rowOff>
    </xdr:from>
    <xdr:to>
      <xdr:col>25</xdr:col>
      <xdr:colOff>319595</xdr:colOff>
      <xdr:row>13</xdr:row>
      <xdr:rowOff>186531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67472" y="178595"/>
          <a:ext cx="2522248" cy="25241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</xdr:colOff>
      <xdr:row>1</xdr:row>
      <xdr:rowOff>2</xdr:rowOff>
    </xdr:from>
    <xdr:to>
      <xdr:col>29</xdr:col>
      <xdr:colOff>214313</xdr:colOff>
      <xdr:row>13</xdr:row>
      <xdr:rowOff>176487</xdr:rowOff>
    </xdr:to>
    <xdr:pic>
      <xdr:nvPicPr>
        <xdr:cNvPr id="3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32126" y="190502"/>
          <a:ext cx="2500312" cy="25021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309563</xdr:colOff>
      <xdr:row>13</xdr:row>
      <xdr:rowOff>154780</xdr:rowOff>
    </xdr:from>
    <xdr:to>
      <xdr:col>25</xdr:col>
      <xdr:colOff>392906</xdr:colOff>
      <xdr:row>26</xdr:row>
      <xdr:rowOff>47623</xdr:rowOff>
    </xdr:to>
    <xdr:pic>
      <xdr:nvPicPr>
        <xdr:cNvPr id="4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93688" y="2655093"/>
          <a:ext cx="2369343" cy="2369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47625</xdr:colOff>
      <xdr:row>13</xdr:row>
      <xdr:rowOff>107156</xdr:rowOff>
    </xdr:from>
    <xdr:to>
      <xdr:col>29</xdr:col>
      <xdr:colOff>202406</xdr:colOff>
      <xdr:row>26</xdr:row>
      <xdr:rowOff>71437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79750" y="2607469"/>
          <a:ext cx="2440781" cy="2440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285748</xdr:colOff>
      <xdr:row>24</xdr:row>
      <xdr:rowOff>178594</xdr:rowOff>
    </xdr:from>
    <xdr:to>
      <xdr:col>25</xdr:col>
      <xdr:colOff>511969</xdr:colOff>
      <xdr:row>38</xdr:row>
      <xdr:rowOff>23815</xdr:rowOff>
    </xdr:to>
    <xdr:pic>
      <xdr:nvPicPr>
        <xdr:cNvPr id="6" name="Imagen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69873" y="4774407"/>
          <a:ext cx="2512221" cy="25122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154781</xdr:colOff>
      <xdr:row>26</xdr:row>
      <xdr:rowOff>59531</xdr:rowOff>
    </xdr:from>
    <xdr:to>
      <xdr:col>29</xdr:col>
      <xdr:colOff>142875</xdr:colOff>
      <xdr:row>38</xdr:row>
      <xdr:rowOff>47625</xdr:rowOff>
    </xdr:to>
    <xdr:pic>
      <xdr:nvPicPr>
        <xdr:cNvPr id="7" name="Imagen 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86906" y="5036344"/>
          <a:ext cx="2274094" cy="2274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559593</xdr:colOff>
      <xdr:row>37</xdr:row>
      <xdr:rowOff>59531</xdr:rowOff>
    </xdr:from>
    <xdr:to>
      <xdr:col>25</xdr:col>
      <xdr:colOff>619125</xdr:colOff>
      <xdr:row>49</xdr:row>
      <xdr:rowOff>119063</xdr:rowOff>
    </xdr:to>
    <xdr:pic>
      <xdr:nvPicPr>
        <xdr:cNvPr id="8" name="Imagen 7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43718" y="7131844"/>
          <a:ext cx="2345532" cy="23455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190501</xdr:colOff>
      <xdr:row>37</xdr:row>
      <xdr:rowOff>166687</xdr:rowOff>
    </xdr:from>
    <xdr:to>
      <xdr:col>29</xdr:col>
      <xdr:colOff>71439</xdr:colOff>
      <xdr:row>49</xdr:row>
      <xdr:rowOff>47625</xdr:rowOff>
    </xdr:to>
    <xdr:pic>
      <xdr:nvPicPr>
        <xdr:cNvPr id="9" name="Imagen 8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22626" y="7239000"/>
          <a:ext cx="2166938" cy="21669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702469</xdr:colOff>
      <xdr:row>48</xdr:row>
      <xdr:rowOff>154781</xdr:rowOff>
    </xdr:from>
    <xdr:to>
      <xdr:col>25</xdr:col>
      <xdr:colOff>535781</xdr:colOff>
      <xdr:row>59</xdr:row>
      <xdr:rowOff>178593</xdr:rowOff>
    </xdr:to>
    <xdr:pic>
      <xdr:nvPicPr>
        <xdr:cNvPr id="10" name="Imagen 9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86594" y="9322594"/>
          <a:ext cx="2119312" cy="21193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595312</xdr:colOff>
      <xdr:row>48</xdr:row>
      <xdr:rowOff>154781</xdr:rowOff>
    </xdr:from>
    <xdr:to>
      <xdr:col>29</xdr:col>
      <xdr:colOff>285750</xdr:colOff>
      <xdr:row>59</xdr:row>
      <xdr:rowOff>35719</xdr:rowOff>
    </xdr:to>
    <xdr:pic>
      <xdr:nvPicPr>
        <xdr:cNvPr id="11" name="Imagen 10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27437" y="9322594"/>
          <a:ext cx="1976438" cy="19764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559594</xdr:colOff>
      <xdr:row>59</xdr:row>
      <xdr:rowOff>-1</xdr:rowOff>
    </xdr:from>
    <xdr:to>
      <xdr:col>25</xdr:col>
      <xdr:colOff>642937</xdr:colOff>
      <xdr:row>71</xdr:row>
      <xdr:rowOff>83342</xdr:rowOff>
    </xdr:to>
    <xdr:pic>
      <xdr:nvPicPr>
        <xdr:cNvPr id="12" name="Imagen 11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43719" y="11263312"/>
          <a:ext cx="2369343" cy="23693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452437</xdr:colOff>
      <xdr:row>58</xdr:row>
      <xdr:rowOff>142874</xdr:rowOff>
    </xdr:from>
    <xdr:to>
      <xdr:col>29</xdr:col>
      <xdr:colOff>559593</xdr:colOff>
      <xdr:row>71</xdr:row>
      <xdr:rowOff>59530</xdr:rowOff>
    </xdr:to>
    <xdr:pic>
      <xdr:nvPicPr>
        <xdr:cNvPr id="13" name="Imagen 12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884562" y="11215687"/>
          <a:ext cx="2393156" cy="23931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357186</xdr:colOff>
      <xdr:row>69</xdr:row>
      <xdr:rowOff>23811</xdr:rowOff>
    </xdr:from>
    <xdr:to>
      <xdr:col>25</xdr:col>
      <xdr:colOff>678656</xdr:colOff>
      <xdr:row>82</xdr:row>
      <xdr:rowOff>154781</xdr:rowOff>
    </xdr:to>
    <xdr:pic>
      <xdr:nvPicPr>
        <xdr:cNvPr id="14" name="Imagen 13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41311" y="13192124"/>
          <a:ext cx="2607470" cy="26074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369094</xdr:colOff>
      <xdr:row>69</xdr:row>
      <xdr:rowOff>178594</xdr:rowOff>
    </xdr:from>
    <xdr:to>
      <xdr:col>29</xdr:col>
      <xdr:colOff>388143</xdr:colOff>
      <xdr:row>82</xdr:row>
      <xdr:rowOff>7143</xdr:rowOff>
    </xdr:to>
    <xdr:pic>
      <xdr:nvPicPr>
        <xdr:cNvPr id="15" name="Imagen 14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801219" y="13346907"/>
          <a:ext cx="2305049" cy="23050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583406</xdr:colOff>
      <xdr:row>82</xdr:row>
      <xdr:rowOff>35719</xdr:rowOff>
    </xdr:from>
    <xdr:to>
      <xdr:col>26</xdr:col>
      <xdr:colOff>71438</xdr:colOff>
      <xdr:row>95</xdr:row>
      <xdr:rowOff>95251</xdr:rowOff>
    </xdr:to>
    <xdr:pic>
      <xdr:nvPicPr>
        <xdr:cNvPr id="16" name="Imagen 15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967531" y="15680532"/>
          <a:ext cx="2536032" cy="25360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654843</xdr:colOff>
      <xdr:row>82</xdr:row>
      <xdr:rowOff>0</xdr:rowOff>
    </xdr:from>
    <xdr:to>
      <xdr:col>30</xdr:col>
      <xdr:colOff>42863</xdr:colOff>
      <xdr:row>94</xdr:row>
      <xdr:rowOff>150020</xdr:rowOff>
    </xdr:to>
    <xdr:pic>
      <xdr:nvPicPr>
        <xdr:cNvPr id="17" name="Imagen 16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86968" y="15644813"/>
          <a:ext cx="2436020" cy="24360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31750</xdr:colOff>
      <xdr:row>4</xdr:row>
      <xdr:rowOff>13229</xdr:rowOff>
    </xdr:from>
    <xdr:to>
      <xdr:col>11</xdr:col>
      <xdr:colOff>142563</xdr:colOff>
      <xdr:row>30</xdr:row>
      <xdr:rowOff>136979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6750" y="791104"/>
          <a:ext cx="5047938" cy="5092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17198</xdr:colOff>
      <xdr:row>4</xdr:row>
      <xdr:rowOff>22491</xdr:rowOff>
    </xdr:from>
    <xdr:to>
      <xdr:col>18</xdr:col>
      <xdr:colOff>485198</xdr:colOff>
      <xdr:row>30</xdr:row>
      <xdr:rowOff>146622</xdr:rowOff>
    </xdr:to>
    <xdr:pic>
      <xdr:nvPicPr>
        <xdr:cNvPr id="3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81323" y="796397"/>
          <a:ext cx="5040000" cy="50890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39687</xdr:colOff>
      <xdr:row>33</xdr:row>
      <xdr:rowOff>27779</xdr:rowOff>
    </xdr:from>
    <xdr:to>
      <xdr:col>11</xdr:col>
      <xdr:colOff>142562</xdr:colOff>
      <xdr:row>59</xdr:row>
      <xdr:rowOff>114779</xdr:rowOff>
    </xdr:to>
    <xdr:pic>
      <xdr:nvPicPr>
        <xdr:cNvPr id="4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4687" y="6346029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47624</xdr:colOff>
      <xdr:row>33</xdr:row>
      <xdr:rowOff>27780</xdr:rowOff>
    </xdr:from>
    <xdr:to>
      <xdr:col>18</xdr:col>
      <xdr:colOff>515624</xdr:colOff>
      <xdr:row>59</xdr:row>
      <xdr:rowOff>114780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49" y="6346030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55560</xdr:colOff>
      <xdr:row>61</xdr:row>
      <xdr:rowOff>178593</xdr:rowOff>
    </xdr:from>
    <xdr:to>
      <xdr:col>11</xdr:col>
      <xdr:colOff>158435</xdr:colOff>
      <xdr:row>88</xdr:row>
      <xdr:rowOff>75093</xdr:rowOff>
    </xdr:to>
    <xdr:pic>
      <xdr:nvPicPr>
        <xdr:cNvPr id="6" name="Imagen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20560" y="11830843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11906</xdr:colOff>
      <xdr:row>62</xdr:row>
      <xdr:rowOff>11906</xdr:rowOff>
    </xdr:from>
    <xdr:to>
      <xdr:col>18</xdr:col>
      <xdr:colOff>479906</xdr:colOff>
      <xdr:row>88</xdr:row>
      <xdr:rowOff>98906</xdr:rowOff>
    </xdr:to>
    <xdr:pic>
      <xdr:nvPicPr>
        <xdr:cNvPr id="7" name="Imagen 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76031" y="11854656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750093</xdr:colOff>
      <xdr:row>91</xdr:row>
      <xdr:rowOff>11906</xdr:rowOff>
    </xdr:from>
    <xdr:to>
      <xdr:col>11</xdr:col>
      <xdr:colOff>90968</xdr:colOff>
      <xdr:row>117</xdr:row>
      <xdr:rowOff>98906</xdr:rowOff>
    </xdr:to>
    <xdr:pic>
      <xdr:nvPicPr>
        <xdr:cNvPr id="8" name="Imagen 7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53093" y="17379156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11906</xdr:colOff>
      <xdr:row>91</xdr:row>
      <xdr:rowOff>11906</xdr:rowOff>
    </xdr:from>
    <xdr:to>
      <xdr:col>18</xdr:col>
      <xdr:colOff>479906</xdr:colOff>
      <xdr:row>117</xdr:row>
      <xdr:rowOff>98906</xdr:rowOff>
    </xdr:to>
    <xdr:pic>
      <xdr:nvPicPr>
        <xdr:cNvPr id="9" name="Imagen 8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76031" y="17379156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19844</xdr:colOff>
      <xdr:row>122</xdr:row>
      <xdr:rowOff>11906</xdr:rowOff>
    </xdr:from>
    <xdr:to>
      <xdr:col>11</xdr:col>
      <xdr:colOff>122719</xdr:colOff>
      <xdr:row>148</xdr:row>
      <xdr:rowOff>98906</xdr:rowOff>
    </xdr:to>
    <xdr:pic>
      <xdr:nvPicPr>
        <xdr:cNvPr id="10" name="Imagen 9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84844" y="23284656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23812</xdr:colOff>
      <xdr:row>122</xdr:row>
      <xdr:rowOff>27781</xdr:rowOff>
    </xdr:from>
    <xdr:to>
      <xdr:col>18</xdr:col>
      <xdr:colOff>491812</xdr:colOff>
      <xdr:row>148</xdr:row>
      <xdr:rowOff>114781</xdr:rowOff>
    </xdr:to>
    <xdr:pic>
      <xdr:nvPicPr>
        <xdr:cNvPr id="11" name="Imagen 10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87937" y="23300531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25400</xdr:colOff>
      <xdr:row>151</xdr:row>
      <xdr:rowOff>43655</xdr:rowOff>
    </xdr:from>
    <xdr:to>
      <xdr:col>11</xdr:col>
      <xdr:colOff>128275</xdr:colOff>
      <xdr:row>177</xdr:row>
      <xdr:rowOff>130655</xdr:rowOff>
    </xdr:to>
    <xdr:pic>
      <xdr:nvPicPr>
        <xdr:cNvPr id="12" name="Imagen 11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90400" y="28840905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39687</xdr:colOff>
      <xdr:row>151</xdr:row>
      <xdr:rowOff>47624</xdr:rowOff>
    </xdr:from>
    <xdr:to>
      <xdr:col>18</xdr:col>
      <xdr:colOff>507687</xdr:colOff>
      <xdr:row>177</xdr:row>
      <xdr:rowOff>134624</xdr:rowOff>
    </xdr:to>
    <xdr:pic>
      <xdr:nvPicPr>
        <xdr:cNvPr id="13" name="Imagen 12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03812" y="28844874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19841</xdr:colOff>
      <xdr:row>180</xdr:row>
      <xdr:rowOff>31748</xdr:rowOff>
    </xdr:from>
    <xdr:to>
      <xdr:col>11</xdr:col>
      <xdr:colOff>122716</xdr:colOff>
      <xdr:row>206</xdr:row>
      <xdr:rowOff>118748</xdr:rowOff>
    </xdr:to>
    <xdr:pic>
      <xdr:nvPicPr>
        <xdr:cNvPr id="14" name="Imagen 13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84841" y="34353498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39687</xdr:colOff>
      <xdr:row>180</xdr:row>
      <xdr:rowOff>39687</xdr:rowOff>
    </xdr:from>
    <xdr:to>
      <xdr:col>18</xdr:col>
      <xdr:colOff>507687</xdr:colOff>
      <xdr:row>206</xdr:row>
      <xdr:rowOff>126687</xdr:rowOff>
    </xdr:to>
    <xdr:pic>
      <xdr:nvPicPr>
        <xdr:cNvPr id="15" name="Imagen 14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03812" y="34361437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11904</xdr:colOff>
      <xdr:row>209</xdr:row>
      <xdr:rowOff>19842</xdr:rowOff>
    </xdr:from>
    <xdr:to>
      <xdr:col>11</xdr:col>
      <xdr:colOff>114779</xdr:colOff>
      <xdr:row>235</xdr:row>
      <xdr:rowOff>106842</xdr:rowOff>
    </xdr:to>
    <xdr:pic>
      <xdr:nvPicPr>
        <xdr:cNvPr id="16" name="Imagen 15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76904" y="39866092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35718</xdr:colOff>
      <xdr:row>209</xdr:row>
      <xdr:rowOff>47625</xdr:rowOff>
    </xdr:from>
    <xdr:to>
      <xdr:col>18</xdr:col>
      <xdr:colOff>503718</xdr:colOff>
      <xdr:row>235</xdr:row>
      <xdr:rowOff>134625</xdr:rowOff>
    </xdr:to>
    <xdr:pic>
      <xdr:nvPicPr>
        <xdr:cNvPr id="17" name="Imagen 16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99843" y="39893875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15875</xdr:colOff>
      <xdr:row>4</xdr:row>
      <xdr:rowOff>15874</xdr:rowOff>
    </xdr:from>
    <xdr:to>
      <xdr:col>10</xdr:col>
      <xdr:colOff>730906</xdr:colOff>
      <xdr:row>30</xdr:row>
      <xdr:rowOff>86999</xdr:rowOff>
    </xdr:to>
    <xdr:pic>
      <xdr:nvPicPr>
        <xdr:cNvPr id="18" name="Imagen 1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39625" y="793749"/>
          <a:ext cx="5017156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11905</xdr:colOff>
      <xdr:row>4</xdr:row>
      <xdr:rowOff>18008</xdr:rowOff>
    </xdr:from>
    <xdr:to>
      <xdr:col>18</xdr:col>
      <xdr:colOff>455304</xdr:colOff>
      <xdr:row>30</xdr:row>
      <xdr:rowOff>89133</xdr:rowOff>
    </xdr:to>
    <xdr:pic>
      <xdr:nvPicPr>
        <xdr:cNvPr id="19" name="Imagen 1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61780" y="795883"/>
          <a:ext cx="5015399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35717</xdr:colOff>
      <xdr:row>33</xdr:row>
      <xdr:rowOff>23810</xdr:rowOff>
    </xdr:from>
    <xdr:to>
      <xdr:col>11</xdr:col>
      <xdr:colOff>11592</xdr:colOff>
      <xdr:row>59</xdr:row>
      <xdr:rowOff>110810</xdr:rowOff>
    </xdr:to>
    <xdr:pic>
      <xdr:nvPicPr>
        <xdr:cNvPr id="20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59467" y="6342060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17195</xdr:colOff>
      <xdr:row>33</xdr:row>
      <xdr:rowOff>10581</xdr:rowOff>
    </xdr:from>
    <xdr:to>
      <xdr:col>18</xdr:col>
      <xdr:colOff>485195</xdr:colOff>
      <xdr:row>59</xdr:row>
      <xdr:rowOff>97581</xdr:rowOff>
    </xdr:to>
    <xdr:pic>
      <xdr:nvPicPr>
        <xdr:cNvPr id="21" name="Imagen 20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67070" y="6328831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15874</xdr:colOff>
      <xdr:row>62</xdr:row>
      <xdr:rowOff>15874</xdr:rowOff>
    </xdr:from>
    <xdr:to>
      <xdr:col>10</xdr:col>
      <xdr:colOff>753749</xdr:colOff>
      <xdr:row>88</xdr:row>
      <xdr:rowOff>102874</xdr:rowOff>
    </xdr:to>
    <xdr:pic>
      <xdr:nvPicPr>
        <xdr:cNvPr id="22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39624" y="11858624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19842</xdr:colOff>
      <xdr:row>61</xdr:row>
      <xdr:rowOff>189174</xdr:rowOff>
    </xdr:from>
    <xdr:to>
      <xdr:col>18</xdr:col>
      <xdr:colOff>487842</xdr:colOff>
      <xdr:row>88</xdr:row>
      <xdr:rowOff>85674</xdr:rowOff>
    </xdr:to>
    <xdr:pic>
      <xdr:nvPicPr>
        <xdr:cNvPr id="23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69717" y="11841424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15876</xdr:colOff>
      <xdr:row>91</xdr:row>
      <xdr:rowOff>18520</xdr:rowOff>
    </xdr:from>
    <xdr:to>
      <xdr:col>10</xdr:col>
      <xdr:colOff>753751</xdr:colOff>
      <xdr:row>117</xdr:row>
      <xdr:rowOff>105520</xdr:rowOff>
    </xdr:to>
    <xdr:pic>
      <xdr:nvPicPr>
        <xdr:cNvPr id="24" name="Imagen 23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39626" y="17385770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26458</xdr:colOff>
      <xdr:row>91</xdr:row>
      <xdr:rowOff>7935</xdr:rowOff>
    </xdr:from>
    <xdr:to>
      <xdr:col>18</xdr:col>
      <xdr:colOff>494458</xdr:colOff>
      <xdr:row>117</xdr:row>
      <xdr:rowOff>94935</xdr:rowOff>
    </xdr:to>
    <xdr:pic>
      <xdr:nvPicPr>
        <xdr:cNvPr id="25" name="Imagen 24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76333" y="17375185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10582</xdr:colOff>
      <xdr:row>122</xdr:row>
      <xdr:rowOff>15874</xdr:rowOff>
    </xdr:from>
    <xdr:to>
      <xdr:col>10</xdr:col>
      <xdr:colOff>748457</xdr:colOff>
      <xdr:row>148</xdr:row>
      <xdr:rowOff>102874</xdr:rowOff>
    </xdr:to>
    <xdr:pic>
      <xdr:nvPicPr>
        <xdr:cNvPr id="26" name="Imagen 25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34332" y="23288624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10584</xdr:colOff>
      <xdr:row>122</xdr:row>
      <xdr:rowOff>10584</xdr:rowOff>
    </xdr:from>
    <xdr:to>
      <xdr:col>18</xdr:col>
      <xdr:colOff>478584</xdr:colOff>
      <xdr:row>148</xdr:row>
      <xdr:rowOff>97584</xdr:rowOff>
    </xdr:to>
    <xdr:pic>
      <xdr:nvPicPr>
        <xdr:cNvPr id="27" name="Imagen 26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60459" y="23283334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15875</xdr:colOff>
      <xdr:row>151</xdr:row>
      <xdr:rowOff>21168</xdr:rowOff>
    </xdr:from>
    <xdr:to>
      <xdr:col>10</xdr:col>
      <xdr:colOff>753750</xdr:colOff>
      <xdr:row>177</xdr:row>
      <xdr:rowOff>108168</xdr:rowOff>
    </xdr:to>
    <xdr:pic>
      <xdr:nvPicPr>
        <xdr:cNvPr id="28" name="Imagen 27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39625" y="28818418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21166</xdr:colOff>
      <xdr:row>151</xdr:row>
      <xdr:rowOff>15876</xdr:rowOff>
    </xdr:from>
    <xdr:to>
      <xdr:col>18</xdr:col>
      <xdr:colOff>489166</xdr:colOff>
      <xdr:row>177</xdr:row>
      <xdr:rowOff>102876</xdr:rowOff>
    </xdr:to>
    <xdr:pic>
      <xdr:nvPicPr>
        <xdr:cNvPr id="29" name="Imagen 28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71041" y="28813126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15875</xdr:colOff>
      <xdr:row>180</xdr:row>
      <xdr:rowOff>15875</xdr:rowOff>
    </xdr:from>
    <xdr:to>
      <xdr:col>10</xdr:col>
      <xdr:colOff>753750</xdr:colOff>
      <xdr:row>206</xdr:row>
      <xdr:rowOff>102875</xdr:rowOff>
    </xdr:to>
    <xdr:pic>
      <xdr:nvPicPr>
        <xdr:cNvPr id="30" name="Imagen 29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39625" y="34337625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10584</xdr:colOff>
      <xdr:row>180</xdr:row>
      <xdr:rowOff>10585</xdr:rowOff>
    </xdr:from>
    <xdr:to>
      <xdr:col>18</xdr:col>
      <xdr:colOff>478584</xdr:colOff>
      <xdr:row>206</xdr:row>
      <xdr:rowOff>97585</xdr:rowOff>
    </xdr:to>
    <xdr:pic>
      <xdr:nvPicPr>
        <xdr:cNvPr id="31" name="Imagen 30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60459" y="34332335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15875</xdr:colOff>
      <xdr:row>209</xdr:row>
      <xdr:rowOff>31750</xdr:rowOff>
    </xdr:from>
    <xdr:to>
      <xdr:col>10</xdr:col>
      <xdr:colOff>753750</xdr:colOff>
      <xdr:row>235</xdr:row>
      <xdr:rowOff>118750</xdr:rowOff>
    </xdr:to>
    <xdr:pic>
      <xdr:nvPicPr>
        <xdr:cNvPr id="32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39625" y="39878000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10584</xdr:colOff>
      <xdr:row>209</xdr:row>
      <xdr:rowOff>10585</xdr:rowOff>
    </xdr:from>
    <xdr:to>
      <xdr:col>18</xdr:col>
      <xdr:colOff>478584</xdr:colOff>
      <xdr:row>235</xdr:row>
      <xdr:rowOff>97585</xdr:rowOff>
    </xdr:to>
    <xdr:pic>
      <xdr:nvPicPr>
        <xdr:cNvPr id="33" name="Imagen 32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60459" y="39856835"/>
          <a:ext cx="5040000" cy="50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357189</xdr:colOff>
      <xdr:row>0</xdr:row>
      <xdr:rowOff>142876</xdr:rowOff>
    </xdr:from>
    <xdr:to>
      <xdr:col>24</xdr:col>
      <xdr:colOff>154783</xdr:colOff>
      <xdr:row>11</xdr:row>
      <xdr:rowOff>92832</xdr:rowOff>
    </xdr:to>
    <xdr:pic>
      <xdr:nvPicPr>
        <xdr:cNvPr id="18" name="Imagen 1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79314" y="142876"/>
          <a:ext cx="2083594" cy="208514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559594</xdr:colOff>
      <xdr:row>1</xdr:row>
      <xdr:rowOff>97384</xdr:rowOff>
    </xdr:from>
    <xdr:to>
      <xdr:col>27</xdr:col>
      <xdr:colOff>114512</xdr:colOff>
      <xdr:row>10</xdr:row>
      <xdr:rowOff>185207</xdr:rowOff>
    </xdr:to>
    <xdr:pic>
      <xdr:nvPicPr>
        <xdr:cNvPr id="19" name="Imagen 18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473011" y="287884"/>
          <a:ext cx="1840918" cy="18393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440532</xdr:colOff>
      <xdr:row>12</xdr:row>
      <xdr:rowOff>23812</xdr:rowOff>
    </xdr:from>
    <xdr:to>
      <xdr:col>24</xdr:col>
      <xdr:colOff>226219</xdr:colOff>
      <xdr:row>22</xdr:row>
      <xdr:rowOff>190499</xdr:rowOff>
    </xdr:to>
    <xdr:pic>
      <xdr:nvPicPr>
        <xdr:cNvPr id="20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062657" y="2333625"/>
          <a:ext cx="2071687" cy="2071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469635</xdr:colOff>
      <xdr:row>12</xdr:row>
      <xdr:rowOff>74083</xdr:rowOff>
    </xdr:from>
    <xdr:to>
      <xdr:col>27</xdr:col>
      <xdr:colOff>236802</xdr:colOff>
      <xdr:row>23</xdr:row>
      <xdr:rowOff>31750</xdr:rowOff>
    </xdr:to>
    <xdr:pic>
      <xdr:nvPicPr>
        <xdr:cNvPr id="21" name="Imagen 20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383052" y="2381250"/>
          <a:ext cx="2053167" cy="20531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555624</xdr:colOff>
      <xdr:row>23</xdr:row>
      <xdr:rowOff>66146</xdr:rowOff>
    </xdr:from>
    <xdr:to>
      <xdr:col>24</xdr:col>
      <xdr:colOff>158749</xdr:colOff>
      <xdr:row>33</xdr:row>
      <xdr:rowOff>50271</xdr:rowOff>
    </xdr:to>
    <xdr:pic>
      <xdr:nvPicPr>
        <xdr:cNvPr id="22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83041" y="4468813"/>
          <a:ext cx="1889125" cy="1889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654842</xdr:colOff>
      <xdr:row>23</xdr:row>
      <xdr:rowOff>112446</xdr:rowOff>
    </xdr:from>
    <xdr:to>
      <xdr:col>27</xdr:col>
      <xdr:colOff>222249</xdr:colOff>
      <xdr:row>33</xdr:row>
      <xdr:rowOff>60853</xdr:rowOff>
    </xdr:to>
    <xdr:pic>
      <xdr:nvPicPr>
        <xdr:cNvPr id="23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568259" y="4515113"/>
          <a:ext cx="1853407" cy="18534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571500</xdr:colOff>
      <xdr:row>33</xdr:row>
      <xdr:rowOff>148166</xdr:rowOff>
    </xdr:from>
    <xdr:to>
      <xdr:col>24</xdr:col>
      <xdr:colOff>201084</xdr:colOff>
      <xdr:row>43</xdr:row>
      <xdr:rowOff>158750</xdr:rowOff>
    </xdr:to>
    <xdr:pic>
      <xdr:nvPicPr>
        <xdr:cNvPr id="24" name="Imagen 23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98917" y="6455833"/>
          <a:ext cx="1915584" cy="19155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24</xdr:col>
      <xdr:colOff>740833</xdr:colOff>
      <xdr:row>34</xdr:row>
      <xdr:rowOff>10582</xdr:rowOff>
    </xdr:from>
    <xdr:to>
      <xdr:col>27</xdr:col>
      <xdr:colOff>179916</xdr:colOff>
      <xdr:row>43</xdr:row>
      <xdr:rowOff>21165</xdr:rowOff>
    </xdr:to>
    <xdr:pic>
      <xdr:nvPicPr>
        <xdr:cNvPr id="25" name="Imagen 24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54250" y="6508749"/>
          <a:ext cx="1725083" cy="1725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613832</xdr:colOff>
      <xdr:row>44</xdr:row>
      <xdr:rowOff>21166</xdr:rowOff>
    </xdr:from>
    <xdr:to>
      <xdr:col>24</xdr:col>
      <xdr:colOff>449791</xdr:colOff>
      <xdr:row>55</xdr:row>
      <xdr:rowOff>47625</xdr:rowOff>
    </xdr:to>
    <xdr:pic>
      <xdr:nvPicPr>
        <xdr:cNvPr id="26" name="Imagen 25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35957" y="8434916"/>
          <a:ext cx="2121959" cy="21219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10583</xdr:colOff>
      <xdr:row>44</xdr:row>
      <xdr:rowOff>31750</xdr:rowOff>
    </xdr:from>
    <xdr:to>
      <xdr:col>27</xdr:col>
      <xdr:colOff>508001</xdr:colOff>
      <xdr:row>54</xdr:row>
      <xdr:rowOff>148168</xdr:rowOff>
    </xdr:to>
    <xdr:pic>
      <xdr:nvPicPr>
        <xdr:cNvPr id="27" name="Imagen 26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86000" y="8434917"/>
          <a:ext cx="2021418" cy="20214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476249</xdr:colOff>
      <xdr:row>55</xdr:row>
      <xdr:rowOff>169334</xdr:rowOff>
    </xdr:from>
    <xdr:to>
      <xdr:col>24</xdr:col>
      <xdr:colOff>391583</xdr:colOff>
      <xdr:row>67</xdr:row>
      <xdr:rowOff>84668</xdr:rowOff>
    </xdr:to>
    <xdr:pic>
      <xdr:nvPicPr>
        <xdr:cNvPr id="28" name="Imagen 27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03666" y="10668001"/>
          <a:ext cx="2201334" cy="22013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465665</xdr:colOff>
      <xdr:row>56</xdr:row>
      <xdr:rowOff>21167</xdr:rowOff>
    </xdr:from>
    <xdr:to>
      <xdr:col>28</xdr:col>
      <xdr:colOff>359833</xdr:colOff>
      <xdr:row>67</xdr:row>
      <xdr:rowOff>105835</xdr:rowOff>
    </xdr:to>
    <xdr:pic>
      <xdr:nvPicPr>
        <xdr:cNvPr id="29" name="Imagen 28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41082" y="10710334"/>
          <a:ext cx="2180168" cy="21801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317500</xdr:colOff>
      <xdr:row>68</xdr:row>
      <xdr:rowOff>21165</xdr:rowOff>
    </xdr:from>
    <xdr:to>
      <xdr:col>24</xdr:col>
      <xdr:colOff>306916</xdr:colOff>
      <xdr:row>80</xdr:row>
      <xdr:rowOff>10581</xdr:rowOff>
    </xdr:to>
    <xdr:pic>
      <xdr:nvPicPr>
        <xdr:cNvPr id="30" name="Imagen 29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44917" y="12996332"/>
          <a:ext cx="2275416" cy="22754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518584</xdr:colOff>
      <xdr:row>68</xdr:row>
      <xdr:rowOff>95250</xdr:rowOff>
    </xdr:from>
    <xdr:to>
      <xdr:col>28</xdr:col>
      <xdr:colOff>317500</xdr:colOff>
      <xdr:row>79</xdr:row>
      <xdr:rowOff>84666</xdr:rowOff>
    </xdr:to>
    <xdr:pic>
      <xdr:nvPicPr>
        <xdr:cNvPr id="31" name="Imagen 30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01" y="13070417"/>
          <a:ext cx="2084916" cy="2084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222250</xdr:colOff>
      <xdr:row>79</xdr:row>
      <xdr:rowOff>179915</xdr:rowOff>
    </xdr:from>
    <xdr:to>
      <xdr:col>24</xdr:col>
      <xdr:colOff>378884</xdr:colOff>
      <xdr:row>92</xdr:row>
      <xdr:rowOff>146049</xdr:rowOff>
    </xdr:to>
    <xdr:pic>
      <xdr:nvPicPr>
        <xdr:cNvPr id="32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9667" y="15250582"/>
          <a:ext cx="2442634" cy="24426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25</xdr:col>
      <xdr:colOff>455084</xdr:colOff>
      <xdr:row>80</xdr:row>
      <xdr:rowOff>0</xdr:rowOff>
    </xdr:from>
    <xdr:to>
      <xdr:col>28</xdr:col>
      <xdr:colOff>412750</xdr:colOff>
      <xdr:row>91</xdr:row>
      <xdr:rowOff>148166</xdr:rowOff>
    </xdr:to>
    <xdr:pic>
      <xdr:nvPicPr>
        <xdr:cNvPr id="33" name="Imagen 32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30501" y="15261167"/>
          <a:ext cx="2243666" cy="22436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698499</xdr:colOff>
      <xdr:row>0</xdr:row>
      <xdr:rowOff>0</xdr:rowOff>
    </xdr:from>
    <xdr:to>
      <xdr:col>18</xdr:col>
      <xdr:colOff>379364</xdr:colOff>
      <xdr:row>14</xdr:row>
      <xdr:rowOff>61865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0582" y="0"/>
          <a:ext cx="2728865" cy="27288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687917</xdr:colOff>
      <xdr:row>0</xdr:row>
      <xdr:rowOff>0</xdr:rowOff>
    </xdr:from>
    <xdr:to>
      <xdr:col>24</xdr:col>
      <xdr:colOff>595001</xdr:colOff>
      <xdr:row>19</xdr:row>
      <xdr:rowOff>97584</xdr:rowOff>
    </xdr:to>
    <xdr:pic>
      <xdr:nvPicPr>
        <xdr:cNvPr id="3" name="Imagen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00" y="0"/>
          <a:ext cx="3717084" cy="3717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338666</xdr:colOff>
      <xdr:row>23</xdr:row>
      <xdr:rowOff>11908</xdr:rowOff>
    </xdr:from>
    <xdr:to>
      <xdr:col>16</xdr:col>
      <xdr:colOff>672041</xdr:colOff>
      <xdr:row>32</xdr:row>
      <xdr:rowOff>23612</xdr:rowOff>
    </xdr:to>
    <xdr:pic>
      <xdr:nvPicPr>
        <xdr:cNvPr id="4" name="Imagen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80749" y="4393408"/>
          <a:ext cx="1857375" cy="17262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219606</xdr:colOff>
      <xdr:row>23</xdr:row>
      <xdr:rowOff>11907</xdr:rowOff>
    </xdr:from>
    <xdr:to>
      <xdr:col>19</xdr:col>
      <xdr:colOff>374386</xdr:colOff>
      <xdr:row>31</xdr:row>
      <xdr:rowOff>166687</xdr:rowOff>
    </xdr:to>
    <xdr:pic>
      <xdr:nvPicPr>
        <xdr:cNvPr id="5" name="Imagen 4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47689" y="4393407"/>
          <a:ext cx="1678780" cy="1678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638970</xdr:colOff>
      <xdr:row>33</xdr:row>
      <xdr:rowOff>11908</xdr:rowOff>
    </xdr:from>
    <xdr:to>
      <xdr:col>17</xdr:col>
      <xdr:colOff>76729</xdr:colOff>
      <xdr:row>42</xdr:row>
      <xdr:rowOff>21167</xdr:rowOff>
    </xdr:to>
    <xdr:pic>
      <xdr:nvPicPr>
        <xdr:cNvPr id="6" name="Imagen 5"/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81053" y="6298408"/>
          <a:ext cx="1723759" cy="17237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279136</xdr:colOff>
      <xdr:row>33</xdr:row>
      <xdr:rowOff>59531</xdr:rowOff>
    </xdr:from>
    <xdr:to>
      <xdr:col>19</xdr:col>
      <xdr:colOff>410106</xdr:colOff>
      <xdr:row>42</xdr:row>
      <xdr:rowOff>1</xdr:rowOff>
    </xdr:to>
    <xdr:pic>
      <xdr:nvPicPr>
        <xdr:cNvPr id="7" name="Imagen 6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07219" y="6346031"/>
          <a:ext cx="1654970" cy="16549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656166</xdr:colOff>
      <xdr:row>43</xdr:row>
      <xdr:rowOff>107155</xdr:rowOff>
    </xdr:from>
    <xdr:to>
      <xdr:col>16</xdr:col>
      <xdr:colOff>728928</xdr:colOff>
      <xdr:row>51</xdr:row>
      <xdr:rowOff>179917</xdr:rowOff>
    </xdr:to>
    <xdr:pic>
      <xdr:nvPicPr>
        <xdr:cNvPr id="8" name="Imagen 7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98249" y="8298655"/>
          <a:ext cx="1596762" cy="1596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171978</xdr:colOff>
      <xdr:row>42</xdr:row>
      <xdr:rowOff>166687</xdr:rowOff>
    </xdr:from>
    <xdr:to>
      <xdr:col>19</xdr:col>
      <xdr:colOff>405340</xdr:colOff>
      <xdr:row>52</xdr:row>
      <xdr:rowOff>19049</xdr:rowOff>
    </xdr:to>
    <xdr:pic>
      <xdr:nvPicPr>
        <xdr:cNvPr id="9" name="Imagen 8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00061" y="8167687"/>
          <a:ext cx="1757362" cy="17573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412750</xdr:colOff>
      <xdr:row>1</xdr:row>
      <xdr:rowOff>137584</xdr:rowOff>
    </xdr:from>
    <xdr:to>
      <xdr:col>40</xdr:col>
      <xdr:colOff>231510</xdr:colOff>
      <xdr:row>12</xdr:row>
      <xdr:rowOff>146844</xdr:rowOff>
    </xdr:to>
    <xdr:pic>
      <xdr:nvPicPr>
        <xdr:cNvPr id="10" name="Imagen 9"/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680833" y="328084"/>
          <a:ext cx="2104760" cy="21047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40</xdr:col>
      <xdr:colOff>447143</xdr:colOff>
      <xdr:row>2</xdr:row>
      <xdr:rowOff>142874</xdr:rowOff>
    </xdr:from>
    <xdr:to>
      <xdr:col>42</xdr:col>
      <xdr:colOff>573350</xdr:colOff>
      <xdr:row>11</xdr:row>
      <xdr:rowOff>78581</xdr:rowOff>
    </xdr:to>
    <xdr:pic>
      <xdr:nvPicPr>
        <xdr:cNvPr id="11" name="Imagen 10"/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01226" y="523874"/>
          <a:ext cx="1650207" cy="16502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560915</xdr:colOff>
      <xdr:row>12</xdr:row>
      <xdr:rowOff>181239</xdr:rowOff>
    </xdr:from>
    <xdr:to>
      <xdr:col>40</xdr:col>
      <xdr:colOff>210342</xdr:colOff>
      <xdr:row>23</xdr:row>
      <xdr:rowOff>21166</xdr:rowOff>
    </xdr:to>
    <xdr:pic>
      <xdr:nvPicPr>
        <xdr:cNvPr id="12" name="Imagen 11"/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828998" y="2467239"/>
          <a:ext cx="1935427" cy="19354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40</xdr:col>
      <xdr:colOff>506677</xdr:colOff>
      <xdr:row>13</xdr:row>
      <xdr:rowOff>35719</xdr:rowOff>
    </xdr:from>
    <xdr:to>
      <xdr:col>42</xdr:col>
      <xdr:colOff>732896</xdr:colOff>
      <xdr:row>22</xdr:row>
      <xdr:rowOff>71438</xdr:rowOff>
    </xdr:to>
    <xdr:pic>
      <xdr:nvPicPr>
        <xdr:cNvPr id="13" name="Imagen 12"/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60760" y="2512219"/>
          <a:ext cx="1750219" cy="17502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635001</xdr:colOff>
      <xdr:row>23</xdr:row>
      <xdr:rowOff>140229</xdr:rowOff>
    </xdr:from>
    <xdr:to>
      <xdr:col>40</xdr:col>
      <xdr:colOff>317501</xdr:colOff>
      <xdr:row>34</xdr:row>
      <xdr:rowOff>13229</xdr:rowOff>
    </xdr:to>
    <xdr:pic>
      <xdr:nvPicPr>
        <xdr:cNvPr id="14" name="Imagen 13"/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03084" y="4521729"/>
          <a:ext cx="1968500" cy="1968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40</xdr:col>
      <xdr:colOff>649552</xdr:colOff>
      <xdr:row>24</xdr:row>
      <xdr:rowOff>35719</xdr:rowOff>
    </xdr:from>
    <xdr:to>
      <xdr:col>42</xdr:col>
      <xdr:colOff>661458</xdr:colOff>
      <xdr:row>32</xdr:row>
      <xdr:rowOff>47625</xdr:rowOff>
    </xdr:to>
    <xdr:pic>
      <xdr:nvPicPr>
        <xdr:cNvPr id="15" name="Imagen 14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203635" y="4607719"/>
          <a:ext cx="1535906" cy="15359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38</xdr:col>
      <xdr:colOff>21169</xdr:colOff>
      <xdr:row>33</xdr:row>
      <xdr:rowOff>152141</xdr:rowOff>
    </xdr:from>
    <xdr:to>
      <xdr:col>40</xdr:col>
      <xdr:colOff>377029</xdr:colOff>
      <xdr:row>43</xdr:row>
      <xdr:rowOff>127001</xdr:rowOff>
    </xdr:to>
    <xdr:pic>
      <xdr:nvPicPr>
        <xdr:cNvPr id="16" name="Imagen 15"/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51252" y="6438641"/>
          <a:ext cx="1879860" cy="18798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40</xdr:col>
      <xdr:colOff>625739</xdr:colOff>
      <xdr:row>34</xdr:row>
      <xdr:rowOff>0</xdr:rowOff>
    </xdr:from>
    <xdr:to>
      <xdr:col>43</xdr:col>
      <xdr:colOff>101863</xdr:colOff>
      <xdr:row>43</xdr:row>
      <xdr:rowOff>47624</xdr:rowOff>
    </xdr:to>
    <xdr:pic>
      <xdr:nvPicPr>
        <xdr:cNvPr id="17" name="Imagen 16"/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179822" y="6477000"/>
          <a:ext cx="1762124" cy="17621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99"/>
  <sheetViews>
    <sheetView zoomScale="60" zoomScaleNormal="60" workbookViewId="0">
      <selection activeCell="B50" sqref="B50"/>
    </sheetView>
  </sheetViews>
  <sheetFormatPr baseColWidth="10" defaultRowHeight="15" x14ac:dyDescent="0.25"/>
  <cols>
    <col min="2" max="2" width="86" customWidth="1"/>
    <col min="3" max="3" width="9" customWidth="1"/>
    <col min="4" max="4" width="51.7109375" customWidth="1"/>
    <col min="7" max="7" width="27.5703125" customWidth="1"/>
    <col min="8" max="8" width="8" customWidth="1"/>
    <col min="9" max="9" width="15.5703125" customWidth="1"/>
  </cols>
  <sheetData>
    <row r="1" spans="1:20" x14ac:dyDescent="0.25">
      <c r="A1" s="1"/>
      <c r="B1" s="1" t="s">
        <v>0</v>
      </c>
      <c r="C1" s="1"/>
      <c r="D1" s="1"/>
      <c r="G1" s="20" t="s">
        <v>40</v>
      </c>
    </row>
    <row r="2" spans="1:20" ht="15.75" x14ac:dyDescent="0.25">
      <c r="A2" s="1"/>
      <c r="B2" s="33" t="s">
        <v>56</v>
      </c>
      <c r="C2" s="33"/>
      <c r="D2" s="1"/>
      <c r="G2" s="19" t="s">
        <v>25</v>
      </c>
      <c r="H2" s="1"/>
      <c r="I2" s="20" t="s">
        <v>26</v>
      </c>
      <c r="J2" s="1" t="s">
        <v>38</v>
      </c>
      <c r="K2" s="1"/>
      <c r="L2" s="1"/>
      <c r="M2" s="1"/>
      <c r="N2" s="1"/>
      <c r="O2" s="1"/>
      <c r="P2" s="1"/>
      <c r="Q2" s="1"/>
      <c r="R2" s="1"/>
    </row>
    <row r="3" spans="1:20" x14ac:dyDescent="0.25">
      <c r="A3" s="1"/>
      <c r="B3" s="1"/>
      <c r="C3" s="1"/>
      <c r="D3" s="1"/>
      <c r="G3" s="19"/>
      <c r="H3" s="1"/>
      <c r="I3" s="1"/>
      <c r="J3" s="1" t="s">
        <v>39</v>
      </c>
      <c r="K3" s="1"/>
      <c r="L3" s="1"/>
      <c r="M3" s="1"/>
      <c r="N3" s="1"/>
      <c r="O3" s="1"/>
      <c r="P3" s="1"/>
      <c r="Q3" s="1"/>
      <c r="R3" s="1"/>
    </row>
    <row r="4" spans="1:20" ht="15.75" x14ac:dyDescent="0.25">
      <c r="A4" s="1"/>
      <c r="B4" s="2" t="s">
        <v>1</v>
      </c>
      <c r="C4" s="3"/>
      <c r="D4" s="4"/>
      <c r="G4" s="20" t="s">
        <v>30</v>
      </c>
      <c r="H4" s="1"/>
      <c r="I4" s="20" t="s">
        <v>28</v>
      </c>
      <c r="J4" s="19"/>
      <c r="K4" s="19"/>
      <c r="L4" s="19"/>
      <c r="M4" s="19"/>
      <c r="N4" s="19"/>
      <c r="O4" s="19"/>
      <c r="P4" s="19"/>
      <c r="Q4" s="19"/>
      <c r="R4" s="19"/>
    </row>
    <row r="5" spans="1:20" ht="15.75" x14ac:dyDescent="0.25">
      <c r="A5" s="1"/>
      <c r="B5" s="5" t="s">
        <v>2</v>
      </c>
      <c r="C5" s="6"/>
      <c r="D5" s="4"/>
      <c r="G5" s="21" t="s">
        <v>29</v>
      </c>
      <c r="H5" s="22"/>
      <c r="I5" s="21">
        <v>1</v>
      </c>
      <c r="J5" s="21">
        <v>2</v>
      </c>
      <c r="K5" s="21">
        <v>3</v>
      </c>
      <c r="L5" s="21">
        <v>4</v>
      </c>
      <c r="M5" s="21">
        <v>5</v>
      </c>
      <c r="N5" s="21">
        <v>6</v>
      </c>
      <c r="O5" s="21">
        <v>7</v>
      </c>
      <c r="P5" s="21">
        <v>8</v>
      </c>
      <c r="Q5" s="21">
        <v>9</v>
      </c>
      <c r="R5" s="21">
        <v>10</v>
      </c>
    </row>
    <row r="6" spans="1:20" x14ac:dyDescent="0.25">
      <c r="A6" s="1"/>
      <c r="B6" s="7" t="s">
        <v>3</v>
      </c>
      <c r="C6" s="7"/>
      <c r="D6" s="4"/>
      <c r="G6" s="1"/>
      <c r="H6" s="19"/>
      <c r="I6" s="1"/>
      <c r="J6" s="1"/>
      <c r="K6" s="1"/>
      <c r="L6" s="1"/>
      <c r="M6" s="1"/>
      <c r="N6" s="1"/>
      <c r="O6" s="1"/>
      <c r="P6" s="1"/>
      <c r="Q6" s="1"/>
      <c r="R6" s="1"/>
    </row>
    <row r="7" spans="1:20" x14ac:dyDescent="0.25">
      <c r="A7" s="1"/>
      <c r="B7" s="8" t="s">
        <v>4</v>
      </c>
      <c r="C7" s="8"/>
      <c r="D7" s="1"/>
      <c r="H7" t="s">
        <v>31</v>
      </c>
      <c r="I7">
        <v>49</v>
      </c>
      <c r="J7" s="1">
        <v>39</v>
      </c>
      <c r="K7" s="1">
        <v>41</v>
      </c>
      <c r="L7" s="1">
        <v>58</v>
      </c>
      <c r="M7" s="1">
        <v>30</v>
      </c>
      <c r="N7" s="1">
        <v>40</v>
      </c>
      <c r="O7" s="1">
        <v>30</v>
      </c>
      <c r="P7" s="1">
        <v>38</v>
      </c>
      <c r="Q7" s="1">
        <v>40</v>
      </c>
      <c r="R7" s="1">
        <v>53</v>
      </c>
      <c r="S7">
        <f>SUM(I7:R7)</f>
        <v>418</v>
      </c>
    </row>
    <row r="8" spans="1:20" x14ac:dyDescent="0.25">
      <c r="A8" s="1"/>
      <c r="B8" s="9" t="s">
        <v>5</v>
      </c>
      <c r="C8" s="10"/>
      <c r="D8" s="11" t="s">
        <v>6</v>
      </c>
      <c r="I8">
        <v>53</v>
      </c>
      <c r="J8">
        <v>44</v>
      </c>
      <c r="K8">
        <v>44</v>
      </c>
      <c r="L8">
        <v>60</v>
      </c>
      <c r="M8">
        <v>35</v>
      </c>
      <c r="N8">
        <v>42</v>
      </c>
      <c r="O8">
        <v>37</v>
      </c>
      <c r="P8">
        <v>42</v>
      </c>
      <c r="Q8">
        <v>45</v>
      </c>
      <c r="R8">
        <v>60</v>
      </c>
      <c r="S8">
        <f t="shared" ref="S8:S21" si="0">SUM(I8:R8)</f>
        <v>462</v>
      </c>
      <c r="T8">
        <f>S7/S8</f>
        <v>0.90476190476190477</v>
      </c>
    </row>
    <row r="9" spans="1:20" x14ac:dyDescent="0.25">
      <c r="A9" s="1"/>
      <c r="B9" s="9" t="s">
        <v>7</v>
      </c>
      <c r="C9" s="10"/>
      <c r="D9" s="12" t="s">
        <v>8</v>
      </c>
      <c r="H9" t="s">
        <v>32</v>
      </c>
      <c r="I9">
        <v>7</v>
      </c>
      <c r="J9">
        <v>0</v>
      </c>
      <c r="K9">
        <v>3</v>
      </c>
      <c r="L9">
        <v>7</v>
      </c>
      <c r="M9">
        <v>5</v>
      </c>
      <c r="N9">
        <v>1</v>
      </c>
      <c r="O9">
        <v>4</v>
      </c>
      <c r="P9">
        <v>0</v>
      </c>
      <c r="Q9">
        <v>3</v>
      </c>
      <c r="R9">
        <v>2</v>
      </c>
      <c r="S9">
        <f t="shared" si="0"/>
        <v>32</v>
      </c>
    </row>
    <row r="10" spans="1:20" x14ac:dyDescent="0.25">
      <c r="A10" s="1"/>
      <c r="B10" s="13" t="s">
        <v>9</v>
      </c>
      <c r="C10" s="13" t="s">
        <v>10</v>
      </c>
      <c r="D10" s="14" t="s">
        <v>11</v>
      </c>
      <c r="I10">
        <v>53</v>
      </c>
      <c r="J10">
        <v>37</v>
      </c>
      <c r="K10">
        <v>45</v>
      </c>
      <c r="L10">
        <v>52</v>
      </c>
      <c r="M10">
        <v>43</v>
      </c>
      <c r="N10">
        <v>37</v>
      </c>
      <c r="O10">
        <v>35</v>
      </c>
      <c r="P10">
        <v>40</v>
      </c>
      <c r="Q10">
        <v>49</v>
      </c>
      <c r="R10">
        <v>50</v>
      </c>
      <c r="S10">
        <f t="shared" si="0"/>
        <v>441</v>
      </c>
      <c r="T10">
        <f>S9/S10</f>
        <v>7.2562358276643993E-2</v>
      </c>
    </row>
    <row r="11" spans="1:20" x14ac:dyDescent="0.25">
      <c r="A11" s="1"/>
      <c r="B11" s="15" t="s">
        <v>12</v>
      </c>
      <c r="C11" s="15"/>
      <c r="D11" s="16" t="s">
        <v>13</v>
      </c>
    </row>
    <row r="12" spans="1:20" x14ac:dyDescent="0.25">
      <c r="A12" s="1"/>
      <c r="B12" s="8"/>
      <c r="C12" s="8"/>
      <c r="D12" s="17"/>
    </row>
    <row r="13" spans="1:20" x14ac:dyDescent="0.25">
      <c r="A13" s="1"/>
      <c r="B13" s="8"/>
      <c r="C13" s="8"/>
      <c r="D13" s="17"/>
    </row>
    <row r="14" spans="1:20" x14ac:dyDescent="0.25">
      <c r="A14" s="1"/>
      <c r="B14" s="8"/>
      <c r="C14" s="8"/>
      <c r="D14" s="17"/>
    </row>
    <row r="15" spans="1:20" x14ac:dyDescent="0.25">
      <c r="A15" s="1"/>
      <c r="B15" s="8"/>
      <c r="C15" s="8"/>
      <c r="D15" s="17"/>
      <c r="G15" s="20" t="s">
        <v>30</v>
      </c>
      <c r="H15" s="19"/>
      <c r="I15" s="23" t="s">
        <v>33</v>
      </c>
      <c r="J15" s="19"/>
      <c r="K15" s="19"/>
      <c r="L15" s="19"/>
      <c r="M15" s="19"/>
      <c r="N15" s="19"/>
      <c r="O15" s="19"/>
      <c r="P15" s="19"/>
      <c r="Q15" s="19"/>
      <c r="R15" s="19"/>
    </row>
    <row r="16" spans="1:20" x14ac:dyDescent="0.25">
      <c r="A16" s="1"/>
      <c r="B16" s="8"/>
      <c r="C16" s="8"/>
      <c r="D16" s="17"/>
      <c r="G16" s="21" t="s">
        <v>29</v>
      </c>
      <c r="H16" s="21"/>
      <c r="I16" s="21">
        <v>1</v>
      </c>
      <c r="J16" s="21">
        <v>2</v>
      </c>
      <c r="K16" s="21">
        <v>3</v>
      </c>
      <c r="L16" s="21">
        <v>4</v>
      </c>
      <c r="M16" s="21">
        <v>5</v>
      </c>
      <c r="N16" s="21">
        <v>6</v>
      </c>
      <c r="O16" s="21">
        <v>7</v>
      </c>
      <c r="P16" s="21">
        <v>8</v>
      </c>
      <c r="Q16" s="21">
        <v>9</v>
      </c>
      <c r="R16" s="21">
        <v>10</v>
      </c>
    </row>
    <row r="17" spans="1:20" x14ac:dyDescent="0.25">
      <c r="A17" s="1"/>
      <c r="B17" s="7" t="s">
        <v>14</v>
      </c>
      <c r="C17" s="7"/>
      <c r="D17" s="17"/>
    </row>
    <row r="18" spans="1:20" x14ac:dyDescent="0.25">
      <c r="A18" s="1"/>
      <c r="B18" s="8" t="s">
        <v>15</v>
      </c>
      <c r="C18" s="8"/>
      <c r="D18" s="17"/>
      <c r="H18" t="s">
        <v>31</v>
      </c>
      <c r="I18">
        <v>38</v>
      </c>
      <c r="J18">
        <v>34</v>
      </c>
      <c r="K18">
        <v>28</v>
      </c>
      <c r="L18">
        <v>30</v>
      </c>
      <c r="M18">
        <v>42</v>
      </c>
      <c r="N18">
        <v>35</v>
      </c>
      <c r="O18">
        <v>40</v>
      </c>
      <c r="P18">
        <v>30</v>
      </c>
      <c r="Q18">
        <v>22</v>
      </c>
      <c r="R18">
        <v>28</v>
      </c>
      <c r="S18">
        <f t="shared" si="0"/>
        <v>327</v>
      </c>
    </row>
    <row r="19" spans="1:20" x14ac:dyDescent="0.25">
      <c r="A19" s="1"/>
      <c r="B19" s="9" t="s">
        <v>16</v>
      </c>
      <c r="C19" s="10"/>
      <c r="D19" s="1"/>
      <c r="I19">
        <v>56</v>
      </c>
      <c r="J19">
        <v>46</v>
      </c>
      <c r="K19">
        <v>41</v>
      </c>
      <c r="L19">
        <v>48</v>
      </c>
      <c r="M19">
        <v>55</v>
      </c>
      <c r="N19">
        <v>43</v>
      </c>
      <c r="O19">
        <v>52</v>
      </c>
      <c r="P19">
        <v>43</v>
      </c>
      <c r="Q19">
        <v>27</v>
      </c>
      <c r="R19">
        <v>40</v>
      </c>
      <c r="S19">
        <f t="shared" si="0"/>
        <v>451</v>
      </c>
      <c r="T19">
        <f>S18/S19</f>
        <v>0.72505543237250558</v>
      </c>
    </row>
    <row r="20" spans="1:20" x14ac:dyDescent="0.25">
      <c r="A20" s="1"/>
      <c r="B20" s="9" t="s">
        <v>17</v>
      </c>
      <c r="C20" s="10"/>
      <c r="D20" s="1"/>
      <c r="H20" t="s">
        <v>32</v>
      </c>
      <c r="I20">
        <v>0</v>
      </c>
      <c r="J20">
        <v>3</v>
      </c>
      <c r="K20">
        <v>0</v>
      </c>
      <c r="L20">
        <v>0</v>
      </c>
      <c r="M20">
        <v>0</v>
      </c>
      <c r="N20">
        <v>3</v>
      </c>
      <c r="O20">
        <v>1</v>
      </c>
      <c r="P20">
        <v>3</v>
      </c>
      <c r="Q20">
        <v>2</v>
      </c>
      <c r="R20">
        <v>4</v>
      </c>
      <c r="S20">
        <f t="shared" si="0"/>
        <v>16</v>
      </c>
    </row>
    <row r="21" spans="1:20" x14ac:dyDescent="0.25">
      <c r="A21" s="1"/>
      <c r="B21" s="1"/>
      <c r="C21" s="1"/>
      <c r="D21" s="1"/>
      <c r="I21">
        <v>64</v>
      </c>
      <c r="J21">
        <v>51</v>
      </c>
      <c r="K21">
        <v>38</v>
      </c>
      <c r="L21">
        <v>48</v>
      </c>
      <c r="M21">
        <v>51</v>
      </c>
      <c r="N21">
        <v>45</v>
      </c>
      <c r="O21">
        <v>57</v>
      </c>
      <c r="P21">
        <v>44</v>
      </c>
      <c r="Q21">
        <v>36</v>
      </c>
      <c r="R21">
        <v>46</v>
      </c>
      <c r="S21">
        <f t="shared" si="0"/>
        <v>480</v>
      </c>
      <c r="T21">
        <f>S20/S21</f>
        <v>3.3333333333333333E-2</v>
      </c>
    </row>
    <row r="22" spans="1:20" x14ac:dyDescent="0.25">
      <c r="A22" s="1"/>
      <c r="B22" s="1"/>
      <c r="C22" s="1"/>
      <c r="D22" s="11" t="s">
        <v>6</v>
      </c>
    </row>
    <row r="23" spans="1:20" x14ac:dyDescent="0.25">
      <c r="A23" s="1"/>
      <c r="B23" s="18"/>
      <c r="C23" s="18"/>
      <c r="D23" s="12" t="s">
        <v>8</v>
      </c>
    </row>
    <row r="24" spans="1:20" x14ac:dyDescent="0.25">
      <c r="A24" s="1"/>
      <c r="B24" s="13" t="s">
        <v>9</v>
      </c>
      <c r="C24" s="13" t="s">
        <v>18</v>
      </c>
      <c r="D24" s="16" t="s">
        <v>24</v>
      </c>
    </row>
    <row r="25" spans="1:20" x14ac:dyDescent="0.25">
      <c r="A25" s="1"/>
      <c r="B25" s="15" t="s">
        <v>19</v>
      </c>
      <c r="C25" s="15"/>
      <c r="D25" s="16" t="s">
        <v>20</v>
      </c>
    </row>
    <row r="26" spans="1:20" x14ac:dyDescent="0.25">
      <c r="A26" s="1"/>
      <c r="B26" s="8"/>
      <c r="C26" s="8"/>
      <c r="D26" s="4"/>
      <c r="G26" s="20" t="s">
        <v>34</v>
      </c>
      <c r="H26" s="19"/>
      <c r="I26" s="20" t="s">
        <v>28</v>
      </c>
      <c r="J26" s="19"/>
      <c r="K26" s="19"/>
      <c r="L26" s="19"/>
      <c r="M26" s="19"/>
      <c r="N26" s="19"/>
      <c r="O26" s="19"/>
      <c r="P26" s="19"/>
      <c r="Q26" s="19"/>
      <c r="R26" s="19"/>
    </row>
    <row r="27" spans="1:20" x14ac:dyDescent="0.25">
      <c r="A27" s="1"/>
      <c r="B27" s="8"/>
      <c r="C27" s="8"/>
      <c r="D27" s="4"/>
      <c r="G27" s="27"/>
      <c r="H27" s="21"/>
      <c r="I27" s="21">
        <v>1</v>
      </c>
      <c r="J27" s="21">
        <v>2</v>
      </c>
      <c r="K27" s="21">
        <v>3</v>
      </c>
      <c r="L27" s="21">
        <v>4</v>
      </c>
      <c r="M27" s="21">
        <v>5</v>
      </c>
      <c r="N27" s="21">
        <v>6</v>
      </c>
      <c r="O27" s="21">
        <v>7</v>
      </c>
      <c r="P27" s="21">
        <v>8</v>
      </c>
      <c r="Q27" s="21">
        <v>9</v>
      </c>
      <c r="R27" s="21">
        <v>10</v>
      </c>
    </row>
    <row r="28" spans="1:20" x14ac:dyDescent="0.25">
      <c r="A28" s="1"/>
      <c r="B28" s="8"/>
      <c r="C28" s="8"/>
      <c r="D28" s="4"/>
    </row>
    <row r="29" spans="1:20" x14ac:dyDescent="0.25">
      <c r="A29" s="1"/>
      <c r="B29" s="7" t="s">
        <v>21</v>
      </c>
      <c r="C29" s="7"/>
      <c r="D29" s="4"/>
      <c r="H29" t="s">
        <v>31</v>
      </c>
      <c r="I29">
        <v>30</v>
      </c>
      <c r="J29">
        <v>30</v>
      </c>
      <c r="K29">
        <v>29</v>
      </c>
      <c r="L29">
        <v>31</v>
      </c>
      <c r="M29">
        <v>30</v>
      </c>
      <c r="N29">
        <v>29</v>
      </c>
      <c r="O29">
        <v>17</v>
      </c>
      <c r="P29">
        <v>30</v>
      </c>
      <c r="Q29">
        <v>42</v>
      </c>
      <c r="R29">
        <v>37</v>
      </c>
      <c r="S29">
        <f>SUM(I29:R29)</f>
        <v>305</v>
      </c>
    </row>
    <row r="30" spans="1:20" x14ac:dyDescent="0.25">
      <c r="A30" s="1"/>
      <c r="B30" s="8"/>
      <c r="C30" s="8"/>
      <c r="D30" s="4"/>
      <c r="I30">
        <v>34</v>
      </c>
      <c r="J30">
        <v>36</v>
      </c>
      <c r="K30">
        <v>33</v>
      </c>
      <c r="L30">
        <v>36</v>
      </c>
      <c r="M30">
        <v>38</v>
      </c>
      <c r="N30">
        <v>32</v>
      </c>
      <c r="O30">
        <v>23</v>
      </c>
      <c r="P30">
        <v>36</v>
      </c>
      <c r="Q30">
        <v>48</v>
      </c>
      <c r="R30">
        <v>40</v>
      </c>
      <c r="S30">
        <f t="shared" ref="S30:S32" si="1">SUM(I30:R30)</f>
        <v>356</v>
      </c>
      <c r="T30">
        <f>S29/S30</f>
        <v>0.8567415730337079</v>
      </c>
    </row>
    <row r="31" spans="1:20" x14ac:dyDescent="0.25">
      <c r="A31" s="1"/>
      <c r="B31" s="8"/>
      <c r="C31" s="8"/>
      <c r="D31" s="4"/>
      <c r="H31" t="s">
        <v>32</v>
      </c>
      <c r="I31">
        <v>2</v>
      </c>
      <c r="J31">
        <v>3</v>
      </c>
      <c r="K31">
        <v>3</v>
      </c>
      <c r="L31">
        <v>0</v>
      </c>
      <c r="M31">
        <v>2</v>
      </c>
      <c r="N31">
        <v>2</v>
      </c>
      <c r="O31">
        <v>1</v>
      </c>
      <c r="P31">
        <v>1</v>
      </c>
      <c r="Q31">
        <v>2</v>
      </c>
      <c r="R31">
        <v>1</v>
      </c>
      <c r="S31">
        <f t="shared" si="1"/>
        <v>17</v>
      </c>
    </row>
    <row r="32" spans="1:20" x14ac:dyDescent="0.25">
      <c r="A32" s="1"/>
      <c r="B32" s="7" t="s">
        <v>22</v>
      </c>
      <c r="C32" s="7"/>
      <c r="D32" s="4"/>
      <c r="I32">
        <v>34</v>
      </c>
      <c r="J32">
        <v>35</v>
      </c>
      <c r="K32">
        <v>28</v>
      </c>
      <c r="L32">
        <v>31</v>
      </c>
      <c r="M32">
        <v>36</v>
      </c>
      <c r="N32">
        <v>32</v>
      </c>
      <c r="O32">
        <v>23</v>
      </c>
      <c r="P32">
        <v>43</v>
      </c>
      <c r="Q32">
        <v>50</v>
      </c>
      <c r="R32">
        <v>46</v>
      </c>
      <c r="S32">
        <f t="shared" si="1"/>
        <v>358</v>
      </c>
      <c r="T32">
        <f>S31/S32</f>
        <v>4.7486033519553071E-2</v>
      </c>
    </row>
    <row r="33" spans="1:20" x14ac:dyDescent="0.25">
      <c r="A33" s="1"/>
      <c r="B33" s="13" t="s">
        <v>23</v>
      </c>
      <c r="C33" s="13"/>
      <c r="D33" s="14"/>
    </row>
    <row r="34" spans="1:20" x14ac:dyDescent="0.25">
      <c r="A34" s="1"/>
      <c r="B34" s="15" t="s">
        <v>19</v>
      </c>
      <c r="C34" s="15"/>
      <c r="D34" s="16"/>
    </row>
    <row r="35" spans="1:20" x14ac:dyDescent="0.25">
      <c r="A35" s="1"/>
      <c r="B35" s="1"/>
      <c r="C35" s="1"/>
      <c r="D35" s="1"/>
    </row>
    <row r="36" spans="1:20" x14ac:dyDescent="0.25">
      <c r="A36" s="1"/>
      <c r="B36" s="1"/>
      <c r="C36" s="1"/>
      <c r="D36" s="1"/>
    </row>
    <row r="37" spans="1:20" x14ac:dyDescent="0.25">
      <c r="A37" s="1"/>
      <c r="B37" s="1"/>
      <c r="C37" s="24" t="s">
        <v>31</v>
      </c>
      <c r="D37" s="25" t="e">
        <f ca="1">INDIRECT("D"&amp;MATCH("Z:",$A:$A,0)+4)+INDIRECT("D"&amp;MATCH("Z:",$A:$A,0)+8)+INDIRECT("E"&amp;MATCH("Z:",$A:$A,0)+8)</f>
        <v>#N/A</v>
      </c>
      <c r="G37" s="20" t="s">
        <v>34</v>
      </c>
      <c r="H37" s="19"/>
      <c r="I37" s="20" t="s">
        <v>33</v>
      </c>
      <c r="J37" s="19"/>
      <c r="K37" s="19"/>
      <c r="L37" s="19"/>
      <c r="M37" s="19"/>
      <c r="N37" s="19"/>
      <c r="O37" s="19"/>
      <c r="P37" s="19"/>
      <c r="Q37" s="19"/>
      <c r="R37" s="19"/>
    </row>
    <row r="38" spans="1:20" x14ac:dyDescent="0.25">
      <c r="A38" s="1"/>
      <c r="B38" s="1"/>
      <c r="C38" s="4"/>
      <c r="D38" s="26" t="e">
        <f ca="1">INDIRECT("E"&amp;MATCH("Z:",$A:$A,0)+3)+INDIRECT("D"&amp;MATCH("Z:",$A:$A,0)+6)+INDIRECT("E"&amp;MATCH("Z:",$A:$A,0)+6)</f>
        <v>#N/A</v>
      </c>
      <c r="G38" s="21" t="s">
        <v>29</v>
      </c>
      <c r="H38" s="21"/>
      <c r="I38" s="21">
        <v>1</v>
      </c>
      <c r="J38" s="21">
        <v>2</v>
      </c>
      <c r="K38" s="21">
        <v>3</v>
      </c>
      <c r="L38" s="21">
        <v>4</v>
      </c>
      <c r="M38" s="21">
        <v>5</v>
      </c>
      <c r="N38" s="21">
        <v>6</v>
      </c>
      <c r="O38" s="21">
        <v>7</v>
      </c>
      <c r="P38" s="21">
        <v>8</v>
      </c>
      <c r="Q38" s="21">
        <v>9</v>
      </c>
      <c r="R38" s="21">
        <v>10</v>
      </c>
    </row>
    <row r="39" spans="1:20" x14ac:dyDescent="0.25">
      <c r="A39" s="1"/>
      <c r="B39" s="1"/>
      <c r="C39" s="24" t="s">
        <v>32</v>
      </c>
      <c r="D39" s="25" t="e">
        <f ca="1">INDIRECT("G"&amp;MATCH("Z:",$A:$A,0)+8)+INDIRECT("F"&amp;MATCH("Z:",$A:$A,0)+10)+INDIRECT("G"&amp;MATCH("Z:",$A:$A,0)+4)</f>
        <v>#N/A</v>
      </c>
    </row>
    <row r="40" spans="1:20" x14ac:dyDescent="0.25">
      <c r="A40" s="1"/>
      <c r="B40" s="1"/>
      <c r="C40" s="4"/>
      <c r="D40" s="26" t="e">
        <f ca="1">INDIRECT("G"&amp;MATCH("Z:",$A:$A,0)+6)+INDIRECT("D"&amp;MATCH("Z:",$A:$A,0)+10)+INDIRECT("F"&amp;MATCH("Z:",$A:$A,0)+3)</f>
        <v>#N/A</v>
      </c>
      <c r="H40" t="s">
        <v>31</v>
      </c>
      <c r="I40">
        <v>52</v>
      </c>
      <c r="J40">
        <v>37</v>
      </c>
      <c r="K40">
        <v>33</v>
      </c>
      <c r="L40">
        <v>42</v>
      </c>
      <c r="M40">
        <v>25</v>
      </c>
      <c r="N40">
        <v>17</v>
      </c>
      <c r="O40">
        <v>38</v>
      </c>
      <c r="P40">
        <v>28</v>
      </c>
      <c r="Q40">
        <v>32</v>
      </c>
      <c r="R40">
        <v>34</v>
      </c>
      <c r="S40">
        <f>SUM(I40:R40)</f>
        <v>338</v>
      </c>
    </row>
    <row r="41" spans="1:20" x14ac:dyDescent="0.25">
      <c r="C41" s="4"/>
      <c r="D41" s="4"/>
      <c r="I41">
        <v>56</v>
      </c>
      <c r="J41">
        <v>44</v>
      </c>
      <c r="K41">
        <v>45</v>
      </c>
      <c r="L41">
        <v>47</v>
      </c>
      <c r="M41">
        <v>36</v>
      </c>
      <c r="N41">
        <v>31</v>
      </c>
      <c r="O41">
        <v>43</v>
      </c>
      <c r="P41">
        <v>37</v>
      </c>
      <c r="Q41">
        <v>35</v>
      </c>
      <c r="R41">
        <v>36</v>
      </c>
      <c r="S41">
        <f>SUM(I41:R41)</f>
        <v>410</v>
      </c>
      <c r="T41">
        <f>S40/S41</f>
        <v>0.82439024390243898</v>
      </c>
    </row>
    <row r="42" spans="1:20" x14ac:dyDescent="0.25">
      <c r="C42" s="4"/>
      <c r="D42" s="4"/>
      <c r="H42" t="s">
        <v>32</v>
      </c>
      <c r="I42">
        <v>0</v>
      </c>
      <c r="J42">
        <v>0</v>
      </c>
      <c r="K42">
        <v>0</v>
      </c>
      <c r="L42">
        <v>0</v>
      </c>
      <c r="M42">
        <v>1</v>
      </c>
      <c r="N42">
        <v>3</v>
      </c>
      <c r="O42">
        <v>1</v>
      </c>
      <c r="P42">
        <v>1</v>
      </c>
      <c r="Q42">
        <v>1</v>
      </c>
      <c r="R42">
        <v>1</v>
      </c>
      <c r="S42">
        <f>SUM(I42:R42)</f>
        <v>8</v>
      </c>
    </row>
    <row r="43" spans="1:20" x14ac:dyDescent="0.25">
      <c r="C43" s="24"/>
      <c r="D43" s="25"/>
      <c r="I43">
        <v>59</v>
      </c>
      <c r="J43">
        <v>42</v>
      </c>
      <c r="K43">
        <v>41</v>
      </c>
      <c r="L43">
        <v>49</v>
      </c>
      <c r="M43">
        <v>35</v>
      </c>
      <c r="N43">
        <v>31</v>
      </c>
      <c r="O43">
        <v>40</v>
      </c>
      <c r="P43">
        <v>36</v>
      </c>
      <c r="Q43">
        <v>39</v>
      </c>
      <c r="R43">
        <v>35</v>
      </c>
      <c r="S43">
        <f>SUM(I43:R43)</f>
        <v>407</v>
      </c>
      <c r="T43">
        <f>S42/S43</f>
        <v>1.9656019656019656E-2</v>
      </c>
    </row>
    <row r="44" spans="1:20" x14ac:dyDescent="0.25">
      <c r="C44" s="4"/>
      <c r="D44" s="26"/>
    </row>
    <row r="45" spans="1:20" x14ac:dyDescent="0.25">
      <c r="C45" s="24"/>
      <c r="D45" s="25"/>
    </row>
    <row r="46" spans="1:20" x14ac:dyDescent="0.25">
      <c r="C46" s="4"/>
      <c r="D46" s="26"/>
    </row>
    <row r="48" spans="1:20" x14ac:dyDescent="0.25">
      <c r="G48" s="20" t="s">
        <v>35</v>
      </c>
      <c r="I48" s="20" t="s">
        <v>28</v>
      </c>
    </row>
    <row r="49" spans="7:20" x14ac:dyDescent="0.25">
      <c r="G49" s="21" t="s">
        <v>29</v>
      </c>
      <c r="H49" s="21"/>
      <c r="I49" s="21">
        <v>1</v>
      </c>
      <c r="J49" s="21">
        <v>2</v>
      </c>
      <c r="K49" s="21">
        <v>3</v>
      </c>
      <c r="L49" s="21">
        <v>4</v>
      </c>
      <c r="M49" s="21">
        <v>5</v>
      </c>
      <c r="N49" s="21">
        <v>6</v>
      </c>
      <c r="O49" s="21">
        <v>7</v>
      </c>
      <c r="P49" s="21">
        <v>8</v>
      </c>
      <c r="Q49" s="21">
        <v>9</v>
      </c>
      <c r="R49" s="21">
        <v>10</v>
      </c>
    </row>
    <row r="51" spans="7:20" x14ac:dyDescent="0.25">
      <c r="H51" t="s">
        <v>31</v>
      </c>
      <c r="I51">
        <v>33</v>
      </c>
      <c r="J51">
        <v>24</v>
      </c>
      <c r="K51">
        <v>35</v>
      </c>
      <c r="L51">
        <v>33</v>
      </c>
      <c r="M51">
        <v>30</v>
      </c>
      <c r="N51">
        <v>37</v>
      </c>
      <c r="O51">
        <v>33</v>
      </c>
      <c r="P51">
        <v>36</v>
      </c>
      <c r="Q51">
        <v>40</v>
      </c>
      <c r="R51">
        <v>22</v>
      </c>
      <c r="S51">
        <f>SUM(I51:R51)</f>
        <v>323</v>
      </c>
    </row>
    <row r="52" spans="7:20" x14ac:dyDescent="0.25">
      <c r="I52">
        <v>37</v>
      </c>
      <c r="J52">
        <v>29</v>
      </c>
      <c r="K52">
        <v>38</v>
      </c>
      <c r="L52">
        <v>33</v>
      </c>
      <c r="M52">
        <v>39</v>
      </c>
      <c r="N52">
        <v>38</v>
      </c>
      <c r="O52">
        <v>38</v>
      </c>
      <c r="P52">
        <v>38</v>
      </c>
      <c r="Q52">
        <v>45</v>
      </c>
      <c r="R52">
        <v>22</v>
      </c>
      <c r="S52">
        <f t="shared" ref="S52:S76" si="2">SUM(I52:R52)</f>
        <v>357</v>
      </c>
      <c r="T52">
        <f>S51/S52</f>
        <v>0.90476190476190477</v>
      </c>
    </row>
    <row r="53" spans="7:20" x14ac:dyDescent="0.25">
      <c r="H53" t="s">
        <v>32</v>
      </c>
      <c r="I53">
        <v>1</v>
      </c>
      <c r="J53">
        <v>2</v>
      </c>
      <c r="K53">
        <v>3</v>
      </c>
      <c r="L53">
        <v>1</v>
      </c>
      <c r="M53">
        <v>1</v>
      </c>
      <c r="N53">
        <v>3</v>
      </c>
      <c r="O53">
        <v>1</v>
      </c>
      <c r="P53">
        <v>2</v>
      </c>
      <c r="Q53">
        <v>1</v>
      </c>
      <c r="R53">
        <v>3</v>
      </c>
      <c r="S53">
        <f t="shared" si="2"/>
        <v>18</v>
      </c>
    </row>
    <row r="54" spans="7:20" x14ac:dyDescent="0.25">
      <c r="I54">
        <v>32</v>
      </c>
      <c r="J54">
        <v>26</v>
      </c>
      <c r="K54">
        <v>37</v>
      </c>
      <c r="L54">
        <v>38</v>
      </c>
      <c r="M54">
        <v>34</v>
      </c>
      <c r="N54">
        <v>38</v>
      </c>
      <c r="O54">
        <v>34</v>
      </c>
      <c r="P54">
        <v>32</v>
      </c>
      <c r="Q54">
        <v>42</v>
      </c>
      <c r="R54">
        <v>26</v>
      </c>
      <c r="S54">
        <f t="shared" si="2"/>
        <v>339</v>
      </c>
      <c r="T54">
        <f>S53/S54</f>
        <v>5.3097345132743362E-2</v>
      </c>
    </row>
    <row r="59" spans="7:20" x14ac:dyDescent="0.25">
      <c r="G59" s="20" t="s">
        <v>35</v>
      </c>
      <c r="I59" s="20" t="s">
        <v>33</v>
      </c>
    </row>
    <row r="60" spans="7:20" x14ac:dyDescent="0.25">
      <c r="G60" s="21" t="s">
        <v>29</v>
      </c>
      <c r="H60" s="21"/>
      <c r="I60" s="21">
        <v>1</v>
      </c>
      <c r="J60" s="21">
        <v>2</v>
      </c>
      <c r="K60" s="21">
        <v>3</v>
      </c>
      <c r="L60" s="21">
        <v>4</v>
      </c>
      <c r="M60" s="21">
        <v>5</v>
      </c>
      <c r="N60" s="21">
        <v>6</v>
      </c>
      <c r="O60" s="21">
        <v>7</v>
      </c>
      <c r="P60" s="21">
        <v>8</v>
      </c>
      <c r="Q60" s="21">
        <v>9</v>
      </c>
      <c r="R60" s="21">
        <v>10</v>
      </c>
    </row>
    <row r="62" spans="7:20" x14ac:dyDescent="0.25">
      <c r="H62" t="s">
        <v>31</v>
      </c>
      <c r="I62">
        <v>25</v>
      </c>
      <c r="J62">
        <v>27</v>
      </c>
      <c r="K62">
        <v>35</v>
      </c>
      <c r="L62">
        <v>29</v>
      </c>
      <c r="M62">
        <v>32</v>
      </c>
      <c r="N62">
        <v>42</v>
      </c>
      <c r="O62">
        <v>21</v>
      </c>
      <c r="P62">
        <v>20</v>
      </c>
      <c r="Q62">
        <v>37</v>
      </c>
      <c r="R62">
        <v>38</v>
      </c>
      <c r="S62">
        <f t="shared" si="2"/>
        <v>306</v>
      </c>
    </row>
    <row r="63" spans="7:20" x14ac:dyDescent="0.25">
      <c r="I63">
        <v>33</v>
      </c>
      <c r="J63">
        <v>34</v>
      </c>
      <c r="K63">
        <v>38</v>
      </c>
      <c r="L63">
        <v>32</v>
      </c>
      <c r="M63">
        <v>36</v>
      </c>
      <c r="N63">
        <v>42</v>
      </c>
      <c r="O63">
        <v>26</v>
      </c>
      <c r="P63">
        <v>24</v>
      </c>
      <c r="Q63">
        <v>39</v>
      </c>
      <c r="R63">
        <v>43</v>
      </c>
      <c r="S63">
        <f t="shared" si="2"/>
        <v>347</v>
      </c>
      <c r="T63">
        <f>S62/S63</f>
        <v>0.88184438040345825</v>
      </c>
    </row>
    <row r="64" spans="7:20" x14ac:dyDescent="0.25">
      <c r="H64" t="s">
        <v>32</v>
      </c>
      <c r="I64">
        <v>2</v>
      </c>
      <c r="J64">
        <v>4</v>
      </c>
      <c r="K64">
        <v>3</v>
      </c>
      <c r="L64">
        <v>3</v>
      </c>
      <c r="M64">
        <v>4</v>
      </c>
      <c r="N64">
        <v>3</v>
      </c>
      <c r="O64">
        <v>3</v>
      </c>
      <c r="P64">
        <v>1</v>
      </c>
      <c r="Q64">
        <v>0</v>
      </c>
      <c r="R64">
        <v>0</v>
      </c>
      <c r="S64">
        <f t="shared" si="2"/>
        <v>23</v>
      </c>
    </row>
    <row r="65" spans="7:20" x14ac:dyDescent="0.25">
      <c r="I65">
        <v>35</v>
      </c>
      <c r="J65">
        <v>31</v>
      </c>
      <c r="K65">
        <v>41</v>
      </c>
      <c r="L65">
        <v>37</v>
      </c>
      <c r="M65">
        <v>36</v>
      </c>
      <c r="N65">
        <v>44</v>
      </c>
      <c r="O65">
        <v>38</v>
      </c>
      <c r="P65">
        <v>29</v>
      </c>
      <c r="Q65">
        <v>37</v>
      </c>
      <c r="R65">
        <v>36</v>
      </c>
      <c r="S65">
        <f t="shared" si="2"/>
        <v>364</v>
      </c>
      <c r="T65">
        <f>S64/S65</f>
        <v>6.3186813186813184E-2</v>
      </c>
    </row>
    <row r="70" spans="7:20" x14ac:dyDescent="0.25">
      <c r="G70" s="20" t="s">
        <v>36</v>
      </c>
      <c r="I70" s="20" t="s">
        <v>28</v>
      </c>
    </row>
    <row r="71" spans="7:20" x14ac:dyDescent="0.25">
      <c r="G71" s="21" t="s">
        <v>29</v>
      </c>
      <c r="H71" s="21"/>
      <c r="I71" s="21">
        <v>1</v>
      </c>
      <c r="J71" s="21">
        <v>2</v>
      </c>
      <c r="K71" s="21">
        <v>3</v>
      </c>
      <c r="L71" s="21">
        <v>4</v>
      </c>
      <c r="M71" s="21">
        <v>5</v>
      </c>
      <c r="N71" s="21">
        <v>6</v>
      </c>
      <c r="O71" s="21">
        <v>7</v>
      </c>
      <c r="P71" s="21">
        <v>8</v>
      </c>
      <c r="Q71" s="21">
        <v>9</v>
      </c>
      <c r="R71" s="21">
        <v>10</v>
      </c>
    </row>
    <row r="73" spans="7:20" x14ac:dyDescent="0.25">
      <c r="H73" t="s">
        <v>31</v>
      </c>
      <c r="I73">
        <v>37</v>
      </c>
      <c r="J73">
        <v>34</v>
      </c>
      <c r="K73">
        <v>31</v>
      </c>
      <c r="L73">
        <v>26</v>
      </c>
      <c r="M73">
        <v>36</v>
      </c>
      <c r="N73">
        <v>18</v>
      </c>
      <c r="O73">
        <v>34</v>
      </c>
      <c r="P73">
        <v>46</v>
      </c>
      <c r="Q73">
        <v>36</v>
      </c>
      <c r="R73">
        <v>43</v>
      </c>
      <c r="S73">
        <f t="shared" si="2"/>
        <v>341</v>
      </c>
    </row>
    <row r="74" spans="7:20" x14ac:dyDescent="0.25">
      <c r="I74">
        <v>39</v>
      </c>
      <c r="J74">
        <v>36</v>
      </c>
      <c r="K74">
        <v>32</v>
      </c>
      <c r="L74">
        <v>29</v>
      </c>
      <c r="M74">
        <v>36</v>
      </c>
      <c r="N74">
        <v>21</v>
      </c>
      <c r="O74">
        <v>38</v>
      </c>
      <c r="P74">
        <v>47</v>
      </c>
      <c r="Q74">
        <v>38</v>
      </c>
      <c r="R74">
        <v>48</v>
      </c>
      <c r="S74">
        <f t="shared" si="2"/>
        <v>364</v>
      </c>
      <c r="T74">
        <f>S73/S74</f>
        <v>0.93681318681318682</v>
      </c>
    </row>
    <row r="75" spans="7:20" x14ac:dyDescent="0.25">
      <c r="H75" t="s">
        <v>32</v>
      </c>
      <c r="I75">
        <v>2</v>
      </c>
      <c r="J75">
        <v>3</v>
      </c>
      <c r="K75">
        <v>1</v>
      </c>
      <c r="L75">
        <v>1</v>
      </c>
      <c r="M75">
        <v>2</v>
      </c>
      <c r="N75">
        <v>1</v>
      </c>
      <c r="O75">
        <v>1</v>
      </c>
      <c r="P75">
        <v>6</v>
      </c>
      <c r="Q75">
        <v>2</v>
      </c>
      <c r="R75">
        <v>3</v>
      </c>
      <c r="S75">
        <f t="shared" si="2"/>
        <v>22</v>
      </c>
    </row>
    <row r="76" spans="7:20" x14ac:dyDescent="0.25">
      <c r="I76">
        <v>37</v>
      </c>
      <c r="J76">
        <v>38</v>
      </c>
      <c r="K76">
        <v>32</v>
      </c>
      <c r="L76">
        <v>28</v>
      </c>
      <c r="M76">
        <v>34</v>
      </c>
      <c r="N76">
        <v>29</v>
      </c>
      <c r="O76">
        <v>31</v>
      </c>
      <c r="P76">
        <v>42</v>
      </c>
      <c r="Q76">
        <v>43</v>
      </c>
      <c r="R76">
        <v>47</v>
      </c>
      <c r="S76">
        <f t="shared" si="2"/>
        <v>361</v>
      </c>
      <c r="T76">
        <f>S75/S76</f>
        <v>6.0941828254847646E-2</v>
      </c>
    </row>
    <row r="81" spans="7:20" x14ac:dyDescent="0.25">
      <c r="G81" s="20" t="s">
        <v>36</v>
      </c>
      <c r="I81" s="20" t="s">
        <v>33</v>
      </c>
    </row>
    <row r="82" spans="7:20" x14ac:dyDescent="0.25">
      <c r="G82" s="21" t="s">
        <v>29</v>
      </c>
      <c r="H82" s="21"/>
      <c r="I82" s="21">
        <v>1</v>
      </c>
      <c r="J82" s="21">
        <v>2</v>
      </c>
      <c r="K82" s="21">
        <v>3</v>
      </c>
      <c r="L82" s="21">
        <v>4</v>
      </c>
      <c r="M82" s="21">
        <v>5</v>
      </c>
      <c r="N82" s="21">
        <v>6</v>
      </c>
      <c r="O82" s="21">
        <v>7</v>
      </c>
      <c r="P82" s="21">
        <v>8</v>
      </c>
      <c r="Q82" s="21">
        <v>9</v>
      </c>
      <c r="R82" s="21">
        <v>10</v>
      </c>
    </row>
    <row r="84" spans="7:20" x14ac:dyDescent="0.25">
      <c r="H84" t="s">
        <v>31</v>
      </c>
      <c r="I84">
        <v>40</v>
      </c>
      <c r="J84">
        <v>32</v>
      </c>
      <c r="K84">
        <v>37</v>
      </c>
      <c r="L84">
        <v>32</v>
      </c>
      <c r="M84">
        <v>35</v>
      </c>
      <c r="N84">
        <v>45</v>
      </c>
      <c r="O84">
        <v>35</v>
      </c>
      <c r="P84">
        <v>28</v>
      </c>
      <c r="Q84">
        <v>31</v>
      </c>
      <c r="R84">
        <v>25</v>
      </c>
      <c r="S84">
        <f>SUM(I84:R84)</f>
        <v>340</v>
      </c>
    </row>
    <row r="85" spans="7:20" x14ac:dyDescent="0.25">
      <c r="I85">
        <v>44</v>
      </c>
      <c r="J85">
        <v>35</v>
      </c>
      <c r="K85">
        <v>42</v>
      </c>
      <c r="L85">
        <v>34</v>
      </c>
      <c r="M85">
        <v>37</v>
      </c>
      <c r="N85">
        <v>49</v>
      </c>
      <c r="O85">
        <v>39</v>
      </c>
      <c r="P85">
        <v>32</v>
      </c>
      <c r="Q85">
        <v>42</v>
      </c>
      <c r="R85">
        <v>27</v>
      </c>
      <c r="S85">
        <f t="shared" ref="S85:S87" si="3">SUM(I85:R85)</f>
        <v>381</v>
      </c>
      <c r="T85">
        <f>S84/S85</f>
        <v>0.8923884514435696</v>
      </c>
    </row>
    <row r="86" spans="7:20" x14ac:dyDescent="0.25">
      <c r="H86" t="s">
        <v>32</v>
      </c>
      <c r="I86">
        <v>4</v>
      </c>
      <c r="J86">
        <v>4</v>
      </c>
      <c r="K86">
        <v>4</v>
      </c>
      <c r="L86">
        <v>2</v>
      </c>
      <c r="M86">
        <v>3</v>
      </c>
      <c r="N86">
        <v>3</v>
      </c>
      <c r="O86">
        <v>0</v>
      </c>
      <c r="P86">
        <v>1</v>
      </c>
      <c r="Q86">
        <v>4</v>
      </c>
      <c r="R86">
        <v>8</v>
      </c>
      <c r="S86">
        <f t="shared" si="3"/>
        <v>33</v>
      </c>
    </row>
    <row r="87" spans="7:20" x14ac:dyDescent="0.25">
      <c r="I87">
        <v>40</v>
      </c>
      <c r="J87">
        <v>36</v>
      </c>
      <c r="K87">
        <v>44</v>
      </c>
      <c r="L87">
        <v>41</v>
      </c>
      <c r="M87">
        <v>35</v>
      </c>
      <c r="N87">
        <v>49</v>
      </c>
      <c r="O87">
        <v>35</v>
      </c>
      <c r="P87">
        <v>26</v>
      </c>
      <c r="Q87">
        <v>44</v>
      </c>
      <c r="R87">
        <v>37</v>
      </c>
      <c r="S87">
        <f t="shared" si="3"/>
        <v>387</v>
      </c>
      <c r="T87">
        <f>S86/S87</f>
        <v>8.5271317829457363E-2</v>
      </c>
    </row>
    <row r="90" spans="7:20" x14ac:dyDescent="0.25">
      <c r="K90" s="24" t="s">
        <v>31</v>
      </c>
      <c r="L90" s="25" t="e">
        <f ca="1">INDIRECT("D"&amp;MATCH("Z:",$A:$A,0)+4)+INDIRECT("D"&amp;MATCH("Z:",$A:$A,0)+8)+INDIRECT("E"&amp;MATCH("Z:",$A:$A,0)+8)</f>
        <v>#N/A</v>
      </c>
    </row>
    <row r="91" spans="7:20" x14ac:dyDescent="0.25">
      <c r="K91" s="4"/>
      <c r="L91" s="26" t="e">
        <f ca="1">INDIRECT("E"&amp;MATCH("Z:",$A:$A,0)+3)+INDIRECT("D"&amp;MATCH("Z:",$A:$A,0)+6)+INDIRECT("E"&amp;MATCH("Z:",$A:$A,0)+6)</f>
        <v>#N/A</v>
      </c>
    </row>
    <row r="92" spans="7:20" x14ac:dyDescent="0.25">
      <c r="K92" s="24" t="s">
        <v>32</v>
      </c>
      <c r="L92" s="25" t="e">
        <f ca="1">INDIRECT("G"&amp;MATCH("Z:",$A:$A,0)+8)+INDIRECT("F"&amp;MATCH("Z:",$A:$A,0)+10)+INDIRECT("G"&amp;MATCH("Z:",$A:$A,0)+4)</f>
        <v>#N/A</v>
      </c>
    </row>
    <row r="93" spans="7:20" x14ac:dyDescent="0.25">
      <c r="K93" s="4"/>
      <c r="L93" s="26" t="e">
        <f ca="1">INDIRECT("G"&amp;MATCH("Z:",$A:$A,0)+6)+INDIRECT("D"&amp;MATCH("Z:",$A:$A,0)+10)+INDIRECT("F"&amp;MATCH("Z:",$A:$A,0)+3)</f>
        <v>#N/A</v>
      </c>
    </row>
    <row r="94" spans="7:20" x14ac:dyDescent="0.25">
      <c r="K94" s="4"/>
      <c r="L94" s="4"/>
    </row>
    <row r="95" spans="7:20" x14ac:dyDescent="0.25">
      <c r="K95" s="4"/>
      <c r="L95" s="4"/>
    </row>
    <row r="96" spans="7:20" x14ac:dyDescent="0.25">
      <c r="K96" s="24" t="s">
        <v>31</v>
      </c>
      <c r="L96" s="25" t="e">
        <f ca="1">INDIRECT("D"&amp;MATCH("Z:",$A:$A,0)+4)+INDIRECT("D"&amp;MATCH("Z:",$A:$A,0)+8)+INDIRECT("E"&amp;MATCH("Z:",$A:$A,0)+8)</f>
        <v>#N/A</v>
      </c>
    </row>
    <row r="97" spans="11:12" x14ac:dyDescent="0.25">
      <c r="K97" s="4"/>
      <c r="L97" s="26" t="e">
        <f ca="1">INDIRECT("E"&amp;MATCH("Z:",$A:$A,0)+3)+INDIRECT("D"&amp;MATCH("Z:",$A:$A,0)+6)+INDIRECT("E"&amp;MATCH("Z:",$A:$A,0)+6)</f>
        <v>#N/A</v>
      </c>
    </row>
    <row r="98" spans="11:12" x14ac:dyDescent="0.25">
      <c r="K98" s="24" t="s">
        <v>32</v>
      </c>
      <c r="L98" s="25" t="e">
        <f ca="1">INDIRECT("G"&amp;MATCH("Z:",$A:$A,0)+8)+INDIRECT("F"&amp;MATCH("Z:",$A:$A,0)+10)+INDIRECT("G"&amp;MATCH("Z:",$A:$A,0)+4)</f>
        <v>#N/A</v>
      </c>
    </row>
    <row r="99" spans="11:12" x14ac:dyDescent="0.25">
      <c r="K99" s="4"/>
      <c r="L99" s="26" t="e">
        <f ca="1">INDIRECT("G"&amp;MATCH("Z:",$A:$A,0)+6)+INDIRECT("D"&amp;MATCH("Z:",$A:$A,0)+10)+INDIRECT("F"&amp;MATCH("Z:",$A:$A,0)+3)</f>
        <v>#N/A</v>
      </c>
    </row>
  </sheetData>
  <pageMargins left="0.7" right="0.7" top="0.75" bottom="0.75" header="0.3" footer="0.3"/>
  <pageSetup paperSize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08"/>
  <sheetViews>
    <sheetView topLeftCell="A5" zoomScale="60" zoomScaleNormal="60" workbookViewId="0">
      <selection activeCell="D66" sqref="D66:D68"/>
    </sheetView>
  </sheetViews>
  <sheetFormatPr baseColWidth="10" defaultRowHeight="15" x14ac:dyDescent="0.25"/>
  <cols>
    <col min="2" max="2" width="86" customWidth="1"/>
    <col min="3" max="3" width="9" customWidth="1"/>
    <col min="4" max="4" width="55" customWidth="1"/>
    <col min="7" max="7" width="27.5703125" customWidth="1"/>
    <col min="8" max="8" width="8" customWidth="1"/>
    <col min="9" max="9" width="15.5703125" customWidth="1"/>
  </cols>
  <sheetData>
    <row r="1" spans="1:18" x14ac:dyDescent="0.25">
      <c r="A1" s="1"/>
      <c r="B1" s="1" t="s">
        <v>52</v>
      </c>
      <c r="C1" s="1"/>
      <c r="D1" s="1"/>
    </row>
    <row r="2" spans="1:18" ht="15.75" x14ac:dyDescent="0.25">
      <c r="A2" s="1"/>
      <c r="B2" s="33" t="s">
        <v>56</v>
      </c>
      <c r="C2" s="1"/>
      <c r="D2" s="1" t="s">
        <v>37</v>
      </c>
      <c r="G2" s="19" t="s">
        <v>25</v>
      </c>
      <c r="H2" s="1"/>
      <c r="I2" s="20" t="s">
        <v>26</v>
      </c>
      <c r="J2" s="1" t="s">
        <v>27</v>
      </c>
      <c r="K2" s="1"/>
      <c r="L2" s="1"/>
      <c r="M2" s="1"/>
      <c r="N2" s="1"/>
      <c r="O2" s="1"/>
      <c r="P2" s="1"/>
      <c r="Q2" s="1"/>
      <c r="R2" s="1"/>
    </row>
    <row r="3" spans="1:18" x14ac:dyDescent="0.25">
      <c r="A3" s="1"/>
      <c r="B3" s="1"/>
      <c r="C3" s="1"/>
      <c r="D3" s="1"/>
      <c r="G3" s="19"/>
      <c r="H3" s="1"/>
      <c r="I3" s="1"/>
      <c r="J3" s="1" t="s">
        <v>39</v>
      </c>
      <c r="K3" s="1"/>
      <c r="L3" s="1"/>
      <c r="M3" s="1"/>
      <c r="N3" s="1"/>
      <c r="O3" s="1"/>
      <c r="P3" s="1"/>
      <c r="Q3" s="1"/>
      <c r="R3" s="1"/>
    </row>
    <row r="4" spans="1:18" ht="15.75" x14ac:dyDescent="0.25">
      <c r="A4" s="1"/>
      <c r="B4" s="2" t="s">
        <v>1</v>
      </c>
      <c r="C4" s="3"/>
      <c r="D4" s="4"/>
      <c r="J4" s="19"/>
      <c r="K4" s="19"/>
      <c r="L4" s="19"/>
      <c r="M4" s="19"/>
      <c r="N4" s="19"/>
      <c r="O4" s="19"/>
      <c r="P4" s="19"/>
      <c r="Q4" s="19"/>
      <c r="R4" s="19"/>
    </row>
    <row r="5" spans="1:18" ht="15.75" x14ac:dyDescent="0.25">
      <c r="A5" s="1"/>
      <c r="B5" s="5" t="s">
        <v>53</v>
      </c>
      <c r="C5" s="6"/>
      <c r="D5" s="4"/>
      <c r="G5" s="28"/>
      <c r="H5" s="29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18" x14ac:dyDescent="0.25">
      <c r="A6" s="1"/>
      <c r="B6" s="7" t="s">
        <v>3</v>
      </c>
      <c r="C6" s="7"/>
      <c r="D6" s="4"/>
      <c r="G6" s="20" t="s">
        <v>30</v>
      </c>
      <c r="H6" s="1"/>
      <c r="I6" s="20" t="s">
        <v>28</v>
      </c>
      <c r="J6" s="1"/>
      <c r="K6" s="1"/>
      <c r="L6" s="1"/>
      <c r="M6" s="1"/>
      <c r="N6" s="1"/>
      <c r="O6" s="1"/>
      <c r="P6" s="1"/>
      <c r="Q6" s="1"/>
      <c r="R6" s="1"/>
    </row>
    <row r="7" spans="1:18" x14ac:dyDescent="0.25">
      <c r="A7" s="1"/>
      <c r="B7" s="8" t="s">
        <v>4</v>
      </c>
      <c r="C7" s="8"/>
      <c r="D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25">
      <c r="A8" s="1"/>
      <c r="B8" s="9" t="s">
        <v>5</v>
      </c>
      <c r="C8" s="10"/>
      <c r="D8" s="11" t="s">
        <v>6</v>
      </c>
    </row>
    <row r="9" spans="1:18" x14ac:dyDescent="0.25">
      <c r="A9" s="1"/>
      <c r="B9" s="9" t="s">
        <v>7</v>
      </c>
      <c r="C9" s="10"/>
      <c r="D9" s="12" t="s">
        <v>8</v>
      </c>
    </row>
    <row r="10" spans="1:18" x14ac:dyDescent="0.25">
      <c r="A10" s="1"/>
      <c r="B10" s="13" t="s">
        <v>9</v>
      </c>
      <c r="C10" s="13" t="s">
        <v>10</v>
      </c>
      <c r="D10" s="14" t="s">
        <v>11</v>
      </c>
    </row>
    <row r="11" spans="1:18" x14ac:dyDescent="0.25">
      <c r="A11" s="1"/>
      <c r="B11" s="15" t="s">
        <v>12</v>
      </c>
      <c r="C11" s="15"/>
      <c r="D11" s="16" t="s">
        <v>13</v>
      </c>
    </row>
    <row r="12" spans="1:18" x14ac:dyDescent="0.25">
      <c r="A12" s="1"/>
      <c r="B12" s="8"/>
      <c r="C12" s="8"/>
      <c r="D12" s="17"/>
    </row>
    <row r="13" spans="1:18" x14ac:dyDescent="0.25">
      <c r="A13" s="1"/>
      <c r="B13" s="8"/>
      <c r="C13" s="8"/>
      <c r="D13" s="17"/>
    </row>
    <row r="14" spans="1:18" x14ac:dyDescent="0.25">
      <c r="A14" s="1"/>
      <c r="B14" s="8"/>
      <c r="C14" s="8"/>
      <c r="D14" s="17"/>
    </row>
    <row r="15" spans="1:18" x14ac:dyDescent="0.25">
      <c r="A15" s="1"/>
      <c r="B15" s="8"/>
      <c r="C15" s="8"/>
      <c r="D15" s="17"/>
      <c r="J15" s="19"/>
      <c r="K15" s="19"/>
      <c r="L15" s="19"/>
      <c r="M15" s="19"/>
      <c r="N15" s="19"/>
      <c r="O15" s="19"/>
      <c r="P15" s="19"/>
      <c r="Q15" s="19"/>
      <c r="R15" s="19"/>
    </row>
    <row r="16" spans="1:18" x14ac:dyDescent="0.25">
      <c r="A16" s="1"/>
      <c r="B16" s="8"/>
      <c r="C16" s="8"/>
      <c r="D16" s="17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</row>
    <row r="17" spans="1:18" x14ac:dyDescent="0.25">
      <c r="A17" s="1"/>
      <c r="B17" s="7" t="s">
        <v>14</v>
      </c>
      <c r="C17" s="7"/>
      <c r="D17" s="17"/>
    </row>
    <row r="18" spans="1:18" x14ac:dyDescent="0.25">
      <c r="A18" s="1"/>
      <c r="B18" s="8" t="s">
        <v>15</v>
      </c>
      <c r="C18" s="8"/>
      <c r="D18" s="17"/>
    </row>
    <row r="19" spans="1:18" x14ac:dyDescent="0.25">
      <c r="A19" s="1"/>
      <c r="B19" s="9" t="s">
        <v>16</v>
      </c>
      <c r="C19" s="10"/>
      <c r="D19" s="1"/>
    </row>
    <row r="20" spans="1:18" x14ac:dyDescent="0.25">
      <c r="A20" s="1"/>
      <c r="B20" s="9" t="s">
        <v>17</v>
      </c>
      <c r="C20" s="10"/>
      <c r="D20" s="1"/>
    </row>
    <row r="21" spans="1:18" x14ac:dyDescent="0.25">
      <c r="A21" s="1"/>
      <c r="B21" s="1"/>
      <c r="C21" s="1"/>
      <c r="D21" s="1"/>
    </row>
    <row r="22" spans="1:18" x14ac:dyDescent="0.25">
      <c r="A22" s="1"/>
      <c r="B22" s="1"/>
      <c r="C22" s="1"/>
      <c r="D22" s="11" t="s">
        <v>6</v>
      </c>
    </row>
    <row r="23" spans="1:18" x14ac:dyDescent="0.25">
      <c r="A23" s="1"/>
      <c r="B23" s="18"/>
      <c r="C23" s="18"/>
      <c r="D23" s="12" t="s">
        <v>8</v>
      </c>
    </row>
    <row r="24" spans="1:18" x14ac:dyDescent="0.25">
      <c r="A24" s="1"/>
      <c r="B24" s="13" t="s">
        <v>9</v>
      </c>
      <c r="C24" s="13" t="s">
        <v>18</v>
      </c>
      <c r="D24" s="16" t="s">
        <v>24</v>
      </c>
    </row>
    <row r="25" spans="1:18" x14ac:dyDescent="0.25">
      <c r="A25" s="1"/>
      <c r="B25" s="15" t="s">
        <v>19</v>
      </c>
      <c r="C25" s="15"/>
      <c r="D25" s="16" t="s">
        <v>20</v>
      </c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</row>
    <row r="26" spans="1:18" x14ac:dyDescent="0.25">
      <c r="A26" s="1"/>
      <c r="B26" s="8"/>
      <c r="C26" s="8"/>
      <c r="D26" s="4"/>
      <c r="G26" s="31"/>
      <c r="H26" s="28"/>
      <c r="I26" s="31"/>
      <c r="J26" s="28"/>
      <c r="K26" s="28"/>
      <c r="L26" s="28"/>
      <c r="M26" s="28"/>
      <c r="N26" s="28"/>
      <c r="O26" s="28"/>
      <c r="P26" s="28"/>
      <c r="Q26" s="28"/>
      <c r="R26" s="28"/>
    </row>
    <row r="27" spans="1:18" x14ac:dyDescent="0.25">
      <c r="A27" s="1"/>
      <c r="B27" s="8"/>
      <c r="C27" s="8"/>
      <c r="D27" s="4"/>
      <c r="G27" s="30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</row>
    <row r="28" spans="1:18" x14ac:dyDescent="0.25">
      <c r="A28" s="1"/>
      <c r="B28" s="8"/>
      <c r="C28" s="8"/>
      <c r="D28" s="4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</row>
    <row r="29" spans="1:18" x14ac:dyDescent="0.25">
      <c r="A29" s="1"/>
      <c r="B29" s="7" t="s">
        <v>21</v>
      </c>
      <c r="C29" s="7"/>
      <c r="D29" s="4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</row>
    <row r="30" spans="1:18" x14ac:dyDescent="0.25">
      <c r="A30" s="1"/>
      <c r="B30" s="8"/>
      <c r="C30" s="8"/>
      <c r="D30" s="4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</row>
    <row r="31" spans="1:18" x14ac:dyDescent="0.25">
      <c r="A31" s="1"/>
      <c r="B31" s="8"/>
      <c r="C31" s="8"/>
      <c r="D31" s="4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</row>
    <row r="32" spans="1:18" x14ac:dyDescent="0.25">
      <c r="A32" s="1"/>
      <c r="B32" s="7" t="s">
        <v>22</v>
      </c>
      <c r="C32" s="7"/>
      <c r="D32" s="4"/>
      <c r="G32" s="20" t="s">
        <v>30</v>
      </c>
      <c r="H32" s="19"/>
      <c r="I32" s="20" t="s">
        <v>33</v>
      </c>
      <c r="J32" s="30"/>
      <c r="K32" s="30"/>
      <c r="L32" s="30"/>
      <c r="M32" s="30"/>
      <c r="N32" s="30"/>
      <c r="O32" s="30"/>
      <c r="P32" s="30"/>
      <c r="Q32" s="30"/>
      <c r="R32" s="30"/>
    </row>
    <row r="33" spans="1:18" x14ac:dyDescent="0.25">
      <c r="A33" s="1"/>
      <c r="B33" s="13" t="s">
        <v>23</v>
      </c>
      <c r="C33" s="13"/>
      <c r="D33" s="14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</row>
    <row r="34" spans="1:18" x14ac:dyDescent="0.25">
      <c r="A34" s="1"/>
      <c r="B34" s="15" t="s">
        <v>19</v>
      </c>
      <c r="C34" s="15"/>
      <c r="D34" s="16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</row>
    <row r="35" spans="1:18" x14ac:dyDescent="0.25">
      <c r="A35" s="1"/>
      <c r="B35" s="1"/>
      <c r="C35" s="1"/>
      <c r="D35" s="1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</row>
    <row r="36" spans="1:18" x14ac:dyDescent="0.25">
      <c r="A36" s="1"/>
      <c r="B36" s="1"/>
      <c r="C36" s="1"/>
      <c r="D36" s="1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</row>
    <row r="37" spans="1:18" x14ac:dyDescent="0.25">
      <c r="A37" s="1"/>
      <c r="B37" s="1"/>
      <c r="C37" s="24" t="s">
        <v>31</v>
      </c>
      <c r="D37" s="25" t="e">
        <f ca="1">INDIRECT("D"&amp;MATCH("Z:",$A:$A,0)+4)+INDIRECT("D"&amp;MATCH("Z:",$A:$A,0)+8)+INDIRECT("E"&amp;MATCH("Z:",$A:$A,0)+8)</f>
        <v>#N/A</v>
      </c>
      <c r="G37" s="31"/>
      <c r="H37" s="28"/>
      <c r="I37" s="31"/>
      <c r="J37" s="28"/>
      <c r="K37" s="28"/>
      <c r="L37" s="28"/>
      <c r="M37" s="28"/>
      <c r="N37" s="28"/>
      <c r="O37" s="28"/>
      <c r="P37" s="28"/>
      <c r="Q37" s="28"/>
      <c r="R37" s="28"/>
    </row>
    <row r="38" spans="1:18" x14ac:dyDescent="0.25">
      <c r="A38" s="1"/>
      <c r="B38" s="1"/>
      <c r="C38" s="4"/>
      <c r="D38" s="26" t="e">
        <f ca="1">INDIRECT("E"&amp;MATCH("Z:",$A:$A,0)+3)+INDIRECT("D"&amp;MATCH("Z:",$A:$A,0)+6)+INDIRECT("E"&amp;MATCH("Z:",$A:$A,0)+6)</f>
        <v>#N/A</v>
      </c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</row>
    <row r="39" spans="1:18" x14ac:dyDescent="0.25">
      <c r="A39" s="1"/>
      <c r="B39" s="1"/>
      <c r="C39" s="24" t="s">
        <v>32</v>
      </c>
      <c r="D39" s="25" t="e">
        <f ca="1">INDIRECT("G"&amp;MATCH("Z:",$A:$A,0)+8)+INDIRECT("F"&amp;MATCH("Z:",$A:$A,0)+10)+INDIRECT("G"&amp;MATCH("Z:",$A:$A,0)+4)</f>
        <v>#N/A</v>
      </c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</row>
    <row r="40" spans="1:18" x14ac:dyDescent="0.25">
      <c r="A40" s="1"/>
      <c r="B40" s="1"/>
      <c r="C40" s="4"/>
      <c r="D40" s="26" t="e">
        <f ca="1">INDIRECT("G"&amp;MATCH("Z:",$A:$A,0)+6)+INDIRECT("D"&amp;MATCH("Z:",$A:$A,0)+10)+INDIRECT("F"&amp;MATCH("Z:",$A:$A,0)+3)</f>
        <v>#N/A</v>
      </c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</row>
    <row r="41" spans="1:18" x14ac:dyDescent="0.25">
      <c r="C41" s="4"/>
      <c r="D41" s="4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</row>
    <row r="42" spans="1:18" x14ac:dyDescent="0.25">
      <c r="C42" s="4"/>
      <c r="D42" s="4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</row>
    <row r="43" spans="1:18" x14ac:dyDescent="0.25">
      <c r="C43" s="24" t="s">
        <v>31</v>
      </c>
      <c r="D43" s="25" t="e">
        <f ca="1">INDIRECT("D"&amp;MATCH("Z:",$A:$A,0)+4)+INDIRECT("D"&amp;MATCH("Z:",$A:$A,0)+8)+INDIRECT("E"&amp;MATCH("Z:",$A:$A,0)+8)</f>
        <v>#N/A</v>
      </c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</row>
    <row r="44" spans="1:18" x14ac:dyDescent="0.25">
      <c r="C44" s="4"/>
      <c r="D44" s="26" t="e">
        <f ca="1">INDIRECT("E"&amp;MATCH("Z:",$A:$A,0)+3)+INDIRECT("D"&amp;MATCH("Z:",$A:$A,0)+6)+INDIRECT("E"&amp;MATCH("Z:",$A:$A,0)+6)</f>
        <v>#N/A</v>
      </c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</row>
    <row r="45" spans="1:18" x14ac:dyDescent="0.25">
      <c r="C45" s="24" t="s">
        <v>32</v>
      </c>
      <c r="D45" s="25" t="e">
        <f ca="1">INDIRECT("G"&amp;MATCH("Z:",$A:$A,0)+8)+INDIRECT("F"&amp;MATCH("Z:",$A:$A,0)+10)+INDIRECT("G"&amp;MATCH("Z:",$A:$A,0)+4)</f>
        <v>#N/A</v>
      </c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</row>
    <row r="46" spans="1:18" x14ac:dyDescent="0.25">
      <c r="C46" s="4"/>
      <c r="D46" s="26" t="e">
        <f ca="1">INDIRECT("G"&amp;MATCH("Z:",$A:$A,0)+6)+INDIRECT("D"&amp;MATCH("Z:",$A:$A,0)+10)+INDIRECT("F"&amp;MATCH("Z:",$A:$A,0)+3)</f>
        <v>#N/A</v>
      </c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</row>
    <row r="47" spans="1:18" x14ac:dyDescent="0.25"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</row>
    <row r="48" spans="1:18" x14ac:dyDescent="0.25">
      <c r="G48" s="31"/>
      <c r="H48" s="30"/>
      <c r="I48" s="31"/>
      <c r="J48" s="30"/>
      <c r="K48" s="30"/>
      <c r="L48" s="30"/>
      <c r="M48" s="30"/>
      <c r="N48" s="30"/>
      <c r="O48" s="30"/>
      <c r="P48" s="30"/>
      <c r="Q48" s="30"/>
      <c r="R48" s="30"/>
    </row>
    <row r="49" spans="7:18" x14ac:dyDescent="0.25"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</row>
    <row r="50" spans="7:18" x14ac:dyDescent="0.25"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</row>
    <row r="51" spans="7:18" x14ac:dyDescent="0.25"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</row>
    <row r="52" spans="7:18" x14ac:dyDescent="0.25"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</row>
    <row r="53" spans="7:18" x14ac:dyDescent="0.25"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</row>
    <row r="54" spans="7:18" x14ac:dyDescent="0.25"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</row>
    <row r="55" spans="7:18" x14ac:dyDescent="0.25"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</row>
    <row r="56" spans="7:18" x14ac:dyDescent="0.25"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</row>
    <row r="57" spans="7:18" x14ac:dyDescent="0.25"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</row>
    <row r="58" spans="7:18" x14ac:dyDescent="0.25"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</row>
    <row r="59" spans="7:18" x14ac:dyDescent="0.25">
      <c r="G59" s="31"/>
      <c r="H59" s="30"/>
      <c r="I59" s="31"/>
      <c r="J59" s="30"/>
      <c r="K59" s="30"/>
      <c r="L59" s="30"/>
      <c r="M59" s="30"/>
      <c r="N59" s="30"/>
      <c r="O59" s="30"/>
      <c r="P59" s="30"/>
      <c r="Q59" s="30"/>
      <c r="R59" s="30"/>
    </row>
    <row r="60" spans="7:18" x14ac:dyDescent="0.25"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</row>
    <row r="61" spans="7:18" x14ac:dyDescent="0.25">
      <c r="G61" s="20" t="s">
        <v>34</v>
      </c>
      <c r="H61" s="19"/>
      <c r="I61" s="20" t="s">
        <v>28</v>
      </c>
      <c r="J61" s="30"/>
      <c r="K61" s="30"/>
      <c r="L61" s="30"/>
      <c r="M61" s="30"/>
      <c r="N61" s="30"/>
      <c r="O61" s="30"/>
      <c r="P61" s="30"/>
      <c r="Q61" s="30"/>
      <c r="R61" s="30"/>
    </row>
    <row r="62" spans="7:18" x14ac:dyDescent="0.25"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</row>
    <row r="63" spans="7:18" x14ac:dyDescent="0.25"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</row>
    <row r="64" spans="7:18" x14ac:dyDescent="0.25"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</row>
    <row r="65" spans="7:18" x14ac:dyDescent="0.25"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</row>
    <row r="66" spans="7:18" x14ac:dyDescent="0.25"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</row>
    <row r="67" spans="7:18" x14ac:dyDescent="0.25"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</row>
    <row r="68" spans="7:18" x14ac:dyDescent="0.25"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</row>
    <row r="69" spans="7:18" x14ac:dyDescent="0.25"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</row>
    <row r="70" spans="7:18" x14ac:dyDescent="0.25">
      <c r="G70" s="31"/>
      <c r="H70" s="30"/>
      <c r="I70" s="31"/>
      <c r="J70" s="30"/>
      <c r="K70" s="30"/>
      <c r="L70" s="30"/>
      <c r="M70" s="30"/>
      <c r="N70" s="30"/>
      <c r="O70" s="30"/>
      <c r="P70" s="30"/>
      <c r="Q70" s="30"/>
      <c r="R70" s="30"/>
    </row>
    <row r="71" spans="7:18" x14ac:dyDescent="0.25"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</row>
    <row r="72" spans="7:18" x14ac:dyDescent="0.25"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</row>
    <row r="73" spans="7:18" x14ac:dyDescent="0.25"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</row>
    <row r="74" spans="7:18" x14ac:dyDescent="0.25"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</row>
    <row r="75" spans="7:18" x14ac:dyDescent="0.25"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</row>
    <row r="76" spans="7:18" x14ac:dyDescent="0.25"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</row>
    <row r="77" spans="7:18" x14ac:dyDescent="0.25"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</row>
    <row r="78" spans="7:18" x14ac:dyDescent="0.25"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</row>
    <row r="79" spans="7:18" x14ac:dyDescent="0.25"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</row>
    <row r="80" spans="7:18" x14ac:dyDescent="0.25"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</row>
    <row r="81" spans="7:18" x14ac:dyDescent="0.25">
      <c r="G81" s="31"/>
      <c r="H81" s="30"/>
      <c r="I81" s="31"/>
      <c r="J81" s="30"/>
      <c r="K81" s="30"/>
      <c r="L81" s="30"/>
      <c r="M81" s="30"/>
      <c r="N81" s="30"/>
      <c r="O81" s="30"/>
      <c r="P81" s="30"/>
      <c r="Q81" s="30"/>
      <c r="R81" s="30"/>
    </row>
    <row r="82" spans="7:18" x14ac:dyDescent="0.25"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</row>
    <row r="83" spans="7:18" x14ac:dyDescent="0.25"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</row>
    <row r="84" spans="7:18" x14ac:dyDescent="0.25"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</row>
    <row r="85" spans="7:18" x14ac:dyDescent="0.25"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</row>
    <row r="86" spans="7:18" x14ac:dyDescent="0.25"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</row>
    <row r="87" spans="7:18" x14ac:dyDescent="0.25"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</row>
    <row r="88" spans="7:18" x14ac:dyDescent="0.25"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</row>
    <row r="89" spans="7:18" x14ac:dyDescent="0.25"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</row>
    <row r="90" spans="7:18" x14ac:dyDescent="0.25">
      <c r="G90" s="20" t="s">
        <v>34</v>
      </c>
      <c r="H90" s="19"/>
      <c r="I90" s="20" t="s">
        <v>33</v>
      </c>
      <c r="J90" s="30"/>
      <c r="K90" s="24"/>
      <c r="L90" s="32"/>
      <c r="M90" s="30"/>
      <c r="N90" s="30"/>
      <c r="O90" s="30"/>
      <c r="P90" s="30"/>
      <c r="Q90" s="30"/>
      <c r="R90" s="30"/>
    </row>
    <row r="91" spans="7:18" x14ac:dyDescent="0.25">
      <c r="G91" s="30"/>
      <c r="H91" s="30"/>
      <c r="I91" s="30"/>
      <c r="J91" s="30"/>
      <c r="K91" s="4"/>
      <c r="L91" s="32"/>
      <c r="M91" s="30"/>
      <c r="N91" s="30"/>
      <c r="O91" s="30"/>
      <c r="P91" s="30"/>
      <c r="Q91" s="30"/>
      <c r="R91" s="30"/>
    </row>
    <row r="92" spans="7:18" x14ac:dyDescent="0.25">
      <c r="G92" s="30"/>
      <c r="H92" s="30"/>
      <c r="I92" s="30"/>
      <c r="J92" s="30"/>
      <c r="K92" s="24"/>
      <c r="L92" s="32"/>
      <c r="M92" s="30"/>
      <c r="N92" s="30"/>
      <c r="O92" s="30"/>
      <c r="P92" s="30"/>
      <c r="Q92" s="30"/>
      <c r="R92" s="30"/>
    </row>
    <row r="93" spans="7:18" x14ac:dyDescent="0.25">
      <c r="G93" s="30"/>
      <c r="H93" s="30"/>
      <c r="I93" s="30"/>
      <c r="J93" s="30"/>
      <c r="K93" s="4"/>
      <c r="L93" s="32"/>
      <c r="M93" s="30"/>
      <c r="N93" s="30"/>
      <c r="O93" s="30"/>
      <c r="P93" s="30"/>
      <c r="Q93" s="30"/>
      <c r="R93" s="30"/>
    </row>
    <row r="94" spans="7:18" x14ac:dyDescent="0.25">
      <c r="G94" s="30"/>
      <c r="H94" s="30"/>
      <c r="I94" s="30"/>
      <c r="J94" s="30"/>
      <c r="K94" s="4"/>
      <c r="L94" s="4"/>
      <c r="M94" s="30"/>
      <c r="N94" s="30"/>
      <c r="O94" s="30"/>
      <c r="P94" s="30"/>
      <c r="Q94" s="30"/>
      <c r="R94" s="30"/>
    </row>
    <row r="95" spans="7:18" x14ac:dyDescent="0.25">
      <c r="G95" s="30"/>
      <c r="H95" s="30"/>
      <c r="I95" s="30"/>
      <c r="J95" s="30"/>
      <c r="K95" s="4"/>
      <c r="L95" s="4"/>
      <c r="M95" s="30"/>
      <c r="N95" s="30"/>
      <c r="O95" s="30"/>
      <c r="P95" s="30"/>
      <c r="Q95" s="30"/>
      <c r="R95" s="30"/>
    </row>
    <row r="96" spans="7:18" x14ac:dyDescent="0.25">
      <c r="G96" s="30"/>
      <c r="H96" s="30"/>
      <c r="I96" s="30"/>
      <c r="J96" s="30"/>
      <c r="K96" s="24"/>
      <c r="L96" s="32"/>
      <c r="M96" s="30"/>
      <c r="N96" s="30"/>
      <c r="O96" s="30"/>
      <c r="P96" s="30"/>
      <c r="Q96" s="30"/>
      <c r="R96" s="30"/>
    </row>
    <row r="97" spans="7:18" x14ac:dyDescent="0.25">
      <c r="G97" s="30"/>
      <c r="H97" s="30"/>
      <c r="I97" s="30"/>
      <c r="J97" s="30"/>
      <c r="K97" s="4"/>
      <c r="L97" s="32"/>
      <c r="M97" s="30"/>
      <c r="N97" s="30"/>
      <c r="O97" s="30"/>
      <c r="P97" s="30"/>
      <c r="Q97" s="30"/>
      <c r="R97" s="30"/>
    </row>
    <row r="98" spans="7:18" x14ac:dyDescent="0.25">
      <c r="G98" s="30"/>
      <c r="H98" s="30"/>
      <c r="I98" s="30"/>
      <c r="J98" s="30"/>
      <c r="K98" s="24"/>
      <c r="L98" s="32"/>
      <c r="M98" s="30"/>
      <c r="N98" s="30"/>
      <c r="O98" s="30"/>
      <c r="P98" s="30"/>
      <c r="Q98" s="30"/>
      <c r="R98" s="30"/>
    </row>
    <row r="99" spans="7:18" x14ac:dyDescent="0.25">
      <c r="G99" s="30"/>
      <c r="H99" s="30"/>
      <c r="I99" s="30"/>
      <c r="J99" s="30"/>
      <c r="K99" s="4"/>
      <c r="L99" s="32"/>
      <c r="M99" s="30"/>
      <c r="N99" s="30"/>
      <c r="O99" s="30"/>
      <c r="P99" s="30"/>
      <c r="Q99" s="30"/>
      <c r="R99" s="30"/>
    </row>
    <row r="100" spans="7:18" x14ac:dyDescent="0.25"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</row>
    <row r="101" spans="7:18" x14ac:dyDescent="0.25"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</row>
    <row r="102" spans="7:18" x14ac:dyDescent="0.25"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</row>
    <row r="103" spans="7:18" x14ac:dyDescent="0.25"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</row>
    <row r="104" spans="7:18" x14ac:dyDescent="0.25"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</row>
    <row r="105" spans="7:18" x14ac:dyDescent="0.25"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</row>
    <row r="106" spans="7:18" x14ac:dyDescent="0.25"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</row>
    <row r="107" spans="7:18" x14ac:dyDescent="0.25"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</row>
    <row r="108" spans="7:18" x14ac:dyDescent="0.25"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</row>
    <row r="109" spans="7:18" x14ac:dyDescent="0.25"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</row>
    <row r="110" spans="7:18" x14ac:dyDescent="0.25"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</row>
    <row r="111" spans="7:18" x14ac:dyDescent="0.25"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</row>
    <row r="112" spans="7:18" x14ac:dyDescent="0.25"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</row>
    <row r="113" spans="7:18" x14ac:dyDescent="0.25"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</row>
    <row r="114" spans="7:18" x14ac:dyDescent="0.25"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</row>
    <row r="115" spans="7:18" x14ac:dyDescent="0.25"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</row>
    <row r="116" spans="7:18" x14ac:dyDescent="0.25"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</row>
    <row r="117" spans="7:18" x14ac:dyDescent="0.25"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</row>
    <row r="118" spans="7:18" x14ac:dyDescent="0.25"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</row>
    <row r="119" spans="7:18" x14ac:dyDescent="0.25">
      <c r="Q119" s="30"/>
      <c r="R119" s="30"/>
    </row>
    <row r="120" spans="7:18" x14ac:dyDescent="0.25">
      <c r="Q120" s="30"/>
      <c r="R120" s="30"/>
    </row>
    <row r="121" spans="7:18" x14ac:dyDescent="0.25">
      <c r="G121" s="20" t="s">
        <v>35</v>
      </c>
      <c r="I121" s="20" t="s">
        <v>28</v>
      </c>
      <c r="Q121" s="30"/>
      <c r="R121" s="30"/>
    </row>
    <row r="150" spans="7:9" x14ac:dyDescent="0.25">
      <c r="G150" s="20" t="s">
        <v>35</v>
      </c>
      <c r="I150" s="20" t="s">
        <v>33</v>
      </c>
    </row>
    <row r="179" spans="7:9" x14ac:dyDescent="0.25">
      <c r="G179" s="20" t="s">
        <v>36</v>
      </c>
      <c r="I179" s="20" t="s">
        <v>28</v>
      </c>
    </row>
    <row r="208" spans="7:9" x14ac:dyDescent="0.25">
      <c r="G208" s="20" t="s">
        <v>36</v>
      </c>
      <c r="I208" s="20" t="s">
        <v>33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08"/>
  <sheetViews>
    <sheetView zoomScale="60" zoomScaleNormal="60" workbookViewId="0">
      <selection activeCell="G4" sqref="G4:K74"/>
    </sheetView>
  </sheetViews>
  <sheetFormatPr baseColWidth="10" defaultRowHeight="15" x14ac:dyDescent="0.25"/>
  <cols>
    <col min="2" max="2" width="86.28515625" customWidth="1"/>
    <col min="3" max="3" width="8.85546875" customWidth="1"/>
    <col min="4" max="4" width="54.140625" customWidth="1"/>
    <col min="7" max="7" width="28.85546875" customWidth="1"/>
    <col min="9" max="9" width="12.85546875" customWidth="1"/>
  </cols>
  <sheetData>
    <row r="1" spans="1:18" x14ac:dyDescent="0.25">
      <c r="A1" s="1"/>
      <c r="B1" s="1" t="s">
        <v>52</v>
      </c>
      <c r="C1" s="1"/>
      <c r="D1" s="1"/>
    </row>
    <row r="2" spans="1:18" ht="15.75" x14ac:dyDescent="0.25">
      <c r="A2" s="1"/>
      <c r="B2" s="34" t="s">
        <v>57</v>
      </c>
      <c r="C2" s="1"/>
      <c r="D2" s="1" t="s">
        <v>37</v>
      </c>
      <c r="G2" s="19" t="s">
        <v>25</v>
      </c>
      <c r="H2" s="1"/>
      <c r="I2" s="20" t="s">
        <v>26</v>
      </c>
      <c r="J2" s="1" t="s">
        <v>27</v>
      </c>
      <c r="K2" s="1"/>
      <c r="L2" s="1"/>
      <c r="M2" s="1"/>
      <c r="N2" s="1"/>
      <c r="O2" s="1"/>
      <c r="P2" s="1"/>
      <c r="Q2" s="1"/>
      <c r="R2" s="1"/>
    </row>
    <row r="3" spans="1:18" x14ac:dyDescent="0.25">
      <c r="A3" s="1"/>
      <c r="B3" s="1"/>
      <c r="C3" s="1"/>
      <c r="D3" s="1"/>
      <c r="G3" s="19"/>
      <c r="H3" s="1"/>
      <c r="I3" s="1"/>
      <c r="J3" s="1" t="s">
        <v>39</v>
      </c>
      <c r="K3" s="1"/>
      <c r="L3" s="1"/>
      <c r="M3" s="1"/>
      <c r="N3" s="1"/>
      <c r="O3" s="1"/>
      <c r="P3" s="1"/>
      <c r="Q3" s="1"/>
      <c r="R3" s="1"/>
    </row>
    <row r="4" spans="1:18" ht="15.75" x14ac:dyDescent="0.25">
      <c r="A4" s="1"/>
      <c r="B4" s="2" t="s">
        <v>1</v>
      </c>
      <c r="C4" s="3"/>
      <c r="D4" s="4"/>
      <c r="J4" s="19"/>
      <c r="K4" s="19"/>
      <c r="L4" s="19"/>
      <c r="M4" s="19"/>
      <c r="N4" s="19"/>
      <c r="O4" s="19"/>
      <c r="P4" s="19"/>
      <c r="Q4" s="19"/>
      <c r="R4" s="19"/>
    </row>
    <row r="5" spans="1:18" ht="15.75" x14ac:dyDescent="0.25">
      <c r="A5" s="1"/>
      <c r="B5" s="5" t="s">
        <v>42</v>
      </c>
      <c r="C5" s="6"/>
      <c r="D5" s="4"/>
      <c r="G5" s="28"/>
      <c r="H5" s="29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18" x14ac:dyDescent="0.25">
      <c r="A6" s="1"/>
      <c r="B6" s="7" t="s">
        <v>3</v>
      </c>
      <c r="C6" s="7"/>
      <c r="D6" s="4"/>
      <c r="G6" s="20" t="s">
        <v>30</v>
      </c>
      <c r="H6" s="1"/>
      <c r="I6" s="20" t="s">
        <v>28</v>
      </c>
      <c r="J6" s="1"/>
      <c r="K6" s="1"/>
      <c r="L6" s="1"/>
      <c r="M6" s="1"/>
      <c r="N6" s="1"/>
      <c r="O6" s="1"/>
      <c r="P6" s="1"/>
      <c r="Q6" s="1"/>
      <c r="R6" s="1"/>
    </row>
    <row r="7" spans="1:18" x14ac:dyDescent="0.25">
      <c r="A7" s="1"/>
      <c r="B7" s="8" t="s">
        <v>4</v>
      </c>
      <c r="C7" s="8"/>
      <c r="D7" s="1"/>
      <c r="J7" s="1"/>
      <c r="K7" s="1"/>
      <c r="L7" s="1"/>
      <c r="M7" s="1"/>
      <c r="N7" s="1"/>
      <c r="O7" s="1"/>
      <c r="P7" s="1"/>
      <c r="Q7" s="1"/>
      <c r="R7" s="1"/>
    </row>
    <row r="8" spans="1:18" x14ac:dyDescent="0.25">
      <c r="A8" s="1"/>
      <c r="B8" s="9" t="s">
        <v>46</v>
      </c>
      <c r="C8" s="10"/>
      <c r="D8" s="11" t="s">
        <v>6</v>
      </c>
    </row>
    <row r="9" spans="1:18" x14ac:dyDescent="0.25">
      <c r="A9" s="1"/>
      <c r="B9" s="9" t="s">
        <v>43</v>
      </c>
      <c r="C9" s="10"/>
      <c r="D9" s="12" t="s">
        <v>8</v>
      </c>
    </row>
    <row r="10" spans="1:18" x14ac:dyDescent="0.25">
      <c r="A10" s="1"/>
      <c r="B10" s="13" t="s">
        <v>23</v>
      </c>
      <c r="C10" s="13" t="s">
        <v>10</v>
      </c>
      <c r="D10" s="14" t="s">
        <v>47</v>
      </c>
    </row>
    <row r="11" spans="1:18" x14ac:dyDescent="0.25">
      <c r="A11" s="1"/>
      <c r="B11" s="15" t="s">
        <v>19</v>
      </c>
      <c r="C11" s="15"/>
      <c r="D11" s="16" t="s">
        <v>48</v>
      </c>
    </row>
    <row r="12" spans="1:18" x14ac:dyDescent="0.25">
      <c r="A12" s="1"/>
      <c r="B12" s="8"/>
      <c r="C12" s="8"/>
      <c r="D12" s="17"/>
    </row>
    <row r="13" spans="1:18" x14ac:dyDescent="0.25">
      <c r="A13" s="1"/>
      <c r="B13" s="8"/>
      <c r="C13" s="8"/>
      <c r="D13" s="17"/>
    </row>
    <row r="14" spans="1:18" x14ac:dyDescent="0.25">
      <c r="A14" s="1"/>
      <c r="B14" s="8"/>
      <c r="C14" s="8"/>
      <c r="D14" s="17"/>
    </row>
    <row r="15" spans="1:18" x14ac:dyDescent="0.25">
      <c r="A15" s="1"/>
      <c r="B15" s="8"/>
      <c r="C15" s="8"/>
      <c r="D15" s="17"/>
      <c r="J15" s="19"/>
      <c r="K15" s="19"/>
      <c r="L15" s="19"/>
      <c r="M15" s="19"/>
      <c r="N15" s="19"/>
      <c r="O15" s="19"/>
      <c r="P15" s="19"/>
      <c r="Q15" s="19"/>
      <c r="R15" s="19"/>
    </row>
    <row r="16" spans="1:18" x14ac:dyDescent="0.25">
      <c r="A16" s="1"/>
      <c r="B16" s="8"/>
      <c r="C16" s="8"/>
      <c r="D16" s="17"/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8"/>
      <c r="R16" s="28"/>
    </row>
    <row r="17" spans="1:18" x14ac:dyDescent="0.25">
      <c r="A17" s="1"/>
      <c r="B17" s="7" t="s">
        <v>14</v>
      </c>
      <c r="C17" s="7"/>
      <c r="D17" s="17"/>
    </row>
    <row r="18" spans="1:18" x14ac:dyDescent="0.25">
      <c r="A18" s="1"/>
      <c r="B18" s="8" t="s">
        <v>15</v>
      </c>
      <c r="C18" s="8"/>
      <c r="D18" s="17"/>
    </row>
    <row r="19" spans="1:18" x14ac:dyDescent="0.25">
      <c r="A19" s="1"/>
      <c r="B19" s="9" t="s">
        <v>54</v>
      </c>
      <c r="C19" s="10"/>
      <c r="D19" s="1"/>
    </row>
    <row r="20" spans="1:18" x14ac:dyDescent="0.25">
      <c r="A20" s="1"/>
      <c r="B20" s="9" t="s">
        <v>44</v>
      </c>
      <c r="C20" s="10"/>
      <c r="D20" s="1"/>
    </row>
    <row r="21" spans="1:18" x14ac:dyDescent="0.25">
      <c r="A21" s="1"/>
      <c r="B21" s="1"/>
      <c r="C21" s="1"/>
      <c r="D21" s="1"/>
    </row>
    <row r="22" spans="1:18" x14ac:dyDescent="0.25">
      <c r="A22" s="1"/>
      <c r="B22" s="1"/>
      <c r="C22" s="1"/>
      <c r="D22" s="11" t="s">
        <v>6</v>
      </c>
    </row>
    <row r="23" spans="1:18" x14ac:dyDescent="0.25">
      <c r="A23" s="1"/>
      <c r="B23" s="18"/>
      <c r="C23" s="18"/>
      <c r="D23" s="12" t="s">
        <v>8</v>
      </c>
    </row>
    <row r="24" spans="1:18" x14ac:dyDescent="0.25">
      <c r="A24" s="1"/>
      <c r="B24" s="13" t="s">
        <v>23</v>
      </c>
      <c r="C24" s="13" t="s">
        <v>18</v>
      </c>
      <c r="D24" s="16" t="s">
        <v>49</v>
      </c>
    </row>
    <row r="25" spans="1:18" x14ac:dyDescent="0.25">
      <c r="A25" s="1"/>
      <c r="B25" s="15" t="s">
        <v>12</v>
      </c>
      <c r="C25" s="15"/>
      <c r="D25" s="16" t="s">
        <v>50</v>
      </c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</row>
    <row r="26" spans="1:18" x14ac:dyDescent="0.25">
      <c r="A26" s="1"/>
      <c r="B26" s="8"/>
      <c r="C26" s="8"/>
      <c r="D26" s="4"/>
      <c r="G26" s="31"/>
      <c r="H26" s="28"/>
      <c r="I26" s="31"/>
      <c r="J26" s="28"/>
      <c r="K26" s="28"/>
      <c r="L26" s="28"/>
      <c r="M26" s="28"/>
      <c r="N26" s="28"/>
      <c r="O26" s="28"/>
      <c r="P26" s="28"/>
      <c r="Q26" s="28"/>
      <c r="R26" s="28"/>
    </row>
    <row r="27" spans="1:18" x14ac:dyDescent="0.25">
      <c r="A27" s="1"/>
      <c r="B27" s="8"/>
      <c r="C27" s="8"/>
      <c r="D27" s="4"/>
      <c r="G27" s="30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</row>
    <row r="28" spans="1:18" x14ac:dyDescent="0.25">
      <c r="A28" s="1"/>
      <c r="B28" s="8"/>
      <c r="C28" s="8"/>
      <c r="D28" s="4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</row>
    <row r="29" spans="1:18" x14ac:dyDescent="0.25">
      <c r="A29" s="1"/>
      <c r="B29" s="7" t="s">
        <v>21</v>
      </c>
      <c r="C29" s="7"/>
      <c r="D29" s="4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</row>
    <row r="30" spans="1:18" x14ac:dyDescent="0.25">
      <c r="A30" s="1"/>
      <c r="B30" s="8"/>
      <c r="C30" s="8"/>
      <c r="D30" s="4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</row>
    <row r="31" spans="1:18" x14ac:dyDescent="0.25">
      <c r="A31" s="1"/>
      <c r="B31" s="8"/>
      <c r="C31" s="8"/>
      <c r="D31" s="4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</row>
    <row r="32" spans="1:18" x14ac:dyDescent="0.25">
      <c r="A32" s="1"/>
      <c r="B32" s="7" t="s">
        <v>22</v>
      </c>
      <c r="C32" s="7"/>
      <c r="D32" s="4"/>
      <c r="G32" s="20" t="s">
        <v>30</v>
      </c>
      <c r="H32" s="19"/>
      <c r="I32" s="20" t="s">
        <v>33</v>
      </c>
      <c r="J32" s="30"/>
      <c r="K32" s="30"/>
      <c r="L32" s="30"/>
      <c r="M32" s="30"/>
      <c r="N32" s="30"/>
      <c r="O32" s="30"/>
      <c r="P32" s="30"/>
      <c r="Q32" s="30"/>
      <c r="R32" s="30"/>
    </row>
    <row r="33" spans="1:18" x14ac:dyDescent="0.25">
      <c r="A33" s="1"/>
      <c r="B33" s="13"/>
      <c r="C33" s="13"/>
      <c r="D33" s="14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</row>
    <row r="34" spans="1:18" x14ac:dyDescent="0.25">
      <c r="A34" s="1"/>
      <c r="B34" s="15"/>
      <c r="C34" s="15"/>
      <c r="D34" s="16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</row>
    <row r="35" spans="1:18" x14ac:dyDescent="0.25">
      <c r="A35" s="1"/>
      <c r="B35" s="1"/>
      <c r="C35" s="1"/>
      <c r="D35" s="1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</row>
    <row r="36" spans="1:18" x14ac:dyDescent="0.25">
      <c r="A36" s="1"/>
      <c r="B36" s="1"/>
      <c r="C36" s="1"/>
      <c r="D36" s="29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</row>
    <row r="37" spans="1:18" x14ac:dyDescent="0.25">
      <c r="A37" s="1"/>
      <c r="B37" s="33" t="s">
        <v>41</v>
      </c>
      <c r="D37" s="32"/>
      <c r="G37" s="31"/>
      <c r="H37" s="28"/>
      <c r="I37" s="31"/>
      <c r="J37" s="28"/>
      <c r="K37" s="28"/>
      <c r="L37" s="28"/>
      <c r="M37" s="28"/>
      <c r="N37" s="28"/>
      <c r="O37" s="28"/>
      <c r="P37" s="28"/>
      <c r="Q37" s="28"/>
      <c r="R37" s="28"/>
    </row>
    <row r="38" spans="1:18" x14ac:dyDescent="0.25">
      <c r="A38" s="1"/>
      <c r="B38" s="17"/>
      <c r="C38" s="4"/>
      <c r="D38" s="32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</row>
    <row r="39" spans="1:18" x14ac:dyDescent="0.25">
      <c r="A39" s="1"/>
      <c r="B39" s="17" t="s">
        <v>55</v>
      </c>
      <c r="C39" s="24"/>
      <c r="D39" s="32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</row>
    <row r="40" spans="1:18" x14ac:dyDescent="0.25">
      <c r="A40" s="1"/>
      <c r="B40" s="24" t="s">
        <v>31</v>
      </c>
      <c r="C40" s="26" t="e">
        <f ca="1">INDIRECT("F"&amp;MATCH("Z:",$A:$A,0)+4)+INDIRECT("G"&amp;MATCH("Z:",$A:$A,0)+7)+INDIRECT("E"&amp;MATCH("Z:",$A:$A,0)+10)</f>
        <v>#N/A</v>
      </c>
      <c r="D40" s="32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</row>
    <row r="41" spans="1:18" x14ac:dyDescent="0.25">
      <c r="B41" s="4"/>
      <c r="C41" s="26" t="e">
        <f ca="1">INDIRECT("G"&amp;MATCH("Z:",$A:$A,0)+6)+INDIRECT("D"&amp;MATCH("Z:",$A:$A,0)+10)+INDIRECT("F"&amp;MATCH("Z:",$A:$A,0)+3)</f>
        <v>#N/A</v>
      </c>
      <c r="D41" s="4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</row>
    <row r="42" spans="1:18" x14ac:dyDescent="0.25">
      <c r="B42" s="24" t="s">
        <v>32</v>
      </c>
      <c r="C42" s="26" t="e">
        <f ca="1">INDIRECT("E"&amp;MATCH("Z:",$A:$A,0)+4)+INDIRECT("D"&amp;MATCH("Z:",$A:$A,0)+7)+INDIRECT("E"&amp;MATCH("Z:",$A:$A,0)+7)</f>
        <v>#N/A</v>
      </c>
      <c r="D42" s="4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</row>
    <row r="43" spans="1:18" x14ac:dyDescent="0.25">
      <c r="B43" s="4"/>
      <c r="C43" s="26" t="e">
        <f ca="1">INDIRECT("E"&amp;MATCH("Z:",$A:$A,0)+3)+INDIRECT("D"&amp;MATCH("Z:",$A:$A,0)+6)+INDIRECT("E"&amp;MATCH("Z:",$A:$A,0)+6)</f>
        <v>#N/A</v>
      </c>
      <c r="D43" s="32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</row>
    <row r="44" spans="1:18" x14ac:dyDescent="0.25">
      <c r="B44" s="17"/>
      <c r="C44" s="24"/>
      <c r="D44" s="32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</row>
    <row r="45" spans="1:18" x14ac:dyDescent="0.25">
      <c r="B45" s="17"/>
      <c r="C45" s="24"/>
      <c r="D45" s="32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</row>
    <row r="46" spans="1:18" x14ac:dyDescent="0.25">
      <c r="B46" s="24" t="s">
        <v>31</v>
      </c>
      <c r="C46" s="26" t="e">
        <f ca="1">INDIRECT("F"&amp;MATCH("Z:",$A:$A,0)+4)+INDIRECT("G"&amp;MATCH("Z:",$A:$A,0)+7)+INDIRECT("E"&amp;MATCH("Z:",$A:$A,0)+10)</f>
        <v>#N/A</v>
      </c>
      <c r="D46" s="32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</row>
    <row r="47" spans="1:18" x14ac:dyDescent="0.25">
      <c r="B47" s="4"/>
      <c r="C47" s="26" t="e">
        <f ca="1">INDIRECT("G"&amp;MATCH("Z:",$A:$A,0)+6)+INDIRECT("D"&amp;MATCH("Z:",$A:$A,0)+10)+INDIRECT("F"&amp;MATCH("Z:",$A:$A,0)+3)</f>
        <v>#N/A</v>
      </c>
      <c r="D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</row>
    <row r="48" spans="1:18" x14ac:dyDescent="0.25">
      <c r="B48" s="24" t="s">
        <v>32</v>
      </c>
      <c r="C48" s="26" t="e">
        <f ca="1">INDIRECT("E"&amp;MATCH("Z:",$A:$A,0)+4)+INDIRECT("D"&amp;MATCH("Z:",$A:$A,0)+7)+INDIRECT("E"&amp;MATCH("Z:",$A:$A,0)+7)</f>
        <v>#N/A</v>
      </c>
      <c r="G48" s="31"/>
      <c r="H48" s="30"/>
      <c r="I48" s="31"/>
      <c r="J48" s="30"/>
      <c r="K48" s="30"/>
      <c r="L48" s="30"/>
      <c r="M48" s="30"/>
      <c r="N48" s="30"/>
      <c r="O48" s="30"/>
      <c r="P48" s="30"/>
      <c r="Q48" s="30"/>
      <c r="R48" s="30"/>
    </row>
    <row r="49" spans="2:18" x14ac:dyDescent="0.25">
      <c r="B49" s="4"/>
      <c r="C49" s="26" t="e">
        <f ca="1">INDIRECT("E"&amp;MATCH("Z:",$A:$A,0)+3)+INDIRECT("D"&amp;MATCH("Z:",$A:$A,0)+6)+INDIRECT("E"&amp;MATCH("Z:",$A:$A,0)+6)</f>
        <v>#N/A</v>
      </c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</row>
    <row r="50" spans="2:18" x14ac:dyDescent="0.25">
      <c r="B50" s="17"/>
      <c r="C50" s="24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</row>
    <row r="51" spans="2:18" x14ac:dyDescent="0.25">
      <c r="G51" s="30"/>
      <c r="H51" s="30"/>
      <c r="I51" s="30"/>
      <c r="J51" s="30"/>
      <c r="K51" s="30"/>
      <c r="L51" s="30"/>
      <c r="M51" s="30"/>
      <c r="N51" s="30"/>
      <c r="O51" s="30"/>
      <c r="P51" s="30"/>
      <c r="Q51" s="30"/>
      <c r="R51" s="30"/>
    </row>
    <row r="52" spans="2:18" x14ac:dyDescent="0.25">
      <c r="G52" s="30"/>
      <c r="H52" s="30"/>
      <c r="I52" s="30"/>
      <c r="J52" s="30"/>
      <c r="K52" s="30"/>
      <c r="L52" s="30"/>
      <c r="M52" s="30"/>
      <c r="N52" s="30"/>
      <c r="O52" s="30"/>
      <c r="P52" s="30"/>
      <c r="Q52" s="30"/>
      <c r="R52" s="30"/>
    </row>
    <row r="53" spans="2:18" x14ac:dyDescent="0.25">
      <c r="G53" s="30"/>
      <c r="H53" s="30"/>
      <c r="I53" s="30"/>
      <c r="J53" s="30"/>
      <c r="K53" s="30"/>
      <c r="L53" s="30"/>
      <c r="M53" s="30"/>
      <c r="N53" s="30"/>
      <c r="O53" s="30"/>
      <c r="P53" s="30"/>
      <c r="Q53" s="30"/>
      <c r="R53" s="30"/>
    </row>
    <row r="54" spans="2:18" x14ac:dyDescent="0.25">
      <c r="G54" s="30"/>
      <c r="H54" s="30"/>
      <c r="I54" s="30"/>
      <c r="J54" s="30"/>
      <c r="K54" s="30"/>
      <c r="L54" s="30"/>
      <c r="M54" s="30"/>
      <c r="N54" s="30"/>
      <c r="O54" s="30"/>
      <c r="P54" s="30"/>
      <c r="Q54" s="30"/>
      <c r="R54" s="30"/>
    </row>
    <row r="55" spans="2:18" x14ac:dyDescent="0.25">
      <c r="G55" s="30"/>
      <c r="H55" s="30"/>
      <c r="I55" s="30"/>
      <c r="J55" s="30"/>
      <c r="K55" s="30"/>
      <c r="L55" s="30"/>
      <c r="M55" s="30"/>
      <c r="N55" s="30"/>
      <c r="O55" s="30"/>
      <c r="P55" s="30"/>
      <c r="Q55" s="30"/>
      <c r="R55" s="30"/>
    </row>
    <row r="56" spans="2:18" x14ac:dyDescent="0.25">
      <c r="G56" s="30"/>
      <c r="H56" s="30"/>
      <c r="I56" s="30"/>
      <c r="J56" s="30"/>
      <c r="K56" s="30"/>
      <c r="L56" s="30"/>
      <c r="M56" s="30"/>
      <c r="N56" s="30"/>
      <c r="O56" s="30"/>
      <c r="P56" s="30"/>
      <c r="Q56" s="30"/>
      <c r="R56" s="30"/>
    </row>
    <row r="57" spans="2:18" x14ac:dyDescent="0.25">
      <c r="G57" s="30"/>
      <c r="H57" s="30"/>
      <c r="I57" s="30"/>
      <c r="J57" s="30"/>
      <c r="K57" s="30"/>
      <c r="L57" s="30"/>
      <c r="M57" s="30"/>
      <c r="N57" s="30"/>
      <c r="O57" s="30"/>
      <c r="P57" s="30"/>
      <c r="Q57" s="30"/>
      <c r="R57" s="30"/>
    </row>
    <row r="58" spans="2:18" x14ac:dyDescent="0.25"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</row>
    <row r="59" spans="2:18" x14ac:dyDescent="0.25">
      <c r="G59" s="31"/>
      <c r="H59" s="30"/>
      <c r="I59" s="31"/>
      <c r="J59" s="30"/>
      <c r="K59" s="30"/>
      <c r="L59" s="30"/>
      <c r="M59" s="30"/>
      <c r="N59" s="30"/>
      <c r="O59" s="30"/>
      <c r="P59" s="30"/>
      <c r="Q59" s="30"/>
      <c r="R59" s="30"/>
    </row>
    <row r="60" spans="2:18" x14ac:dyDescent="0.25"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</row>
    <row r="61" spans="2:18" x14ac:dyDescent="0.25">
      <c r="G61" s="20" t="s">
        <v>34</v>
      </c>
      <c r="H61" s="19"/>
      <c r="I61" s="20" t="s">
        <v>28</v>
      </c>
      <c r="J61" s="30"/>
      <c r="K61" s="30"/>
      <c r="L61" s="30"/>
      <c r="M61" s="30"/>
      <c r="N61" s="30"/>
      <c r="O61" s="30"/>
      <c r="P61" s="30"/>
      <c r="Q61" s="30"/>
      <c r="R61" s="30"/>
    </row>
    <row r="62" spans="2:18" x14ac:dyDescent="0.25">
      <c r="G62" s="30"/>
      <c r="H62" s="30"/>
      <c r="I62" s="30"/>
      <c r="J62" s="30"/>
      <c r="K62" s="30"/>
      <c r="L62" s="30"/>
      <c r="M62" s="30"/>
      <c r="N62" s="30"/>
      <c r="O62" s="30"/>
      <c r="P62" s="30"/>
      <c r="Q62" s="30"/>
      <c r="R62" s="30"/>
    </row>
    <row r="63" spans="2:18" x14ac:dyDescent="0.25">
      <c r="G63" s="30"/>
      <c r="H63" s="30"/>
      <c r="I63" s="30"/>
      <c r="J63" s="30"/>
      <c r="K63" s="30"/>
      <c r="L63" s="30"/>
      <c r="M63" s="30"/>
      <c r="N63" s="30"/>
      <c r="O63" s="30"/>
      <c r="P63" s="30"/>
      <c r="Q63" s="30"/>
      <c r="R63" s="30"/>
    </row>
    <row r="64" spans="2:18" x14ac:dyDescent="0.25">
      <c r="G64" s="30"/>
      <c r="H64" s="30"/>
      <c r="I64" s="30"/>
      <c r="J64" s="30"/>
      <c r="K64" s="30"/>
      <c r="L64" s="30"/>
      <c r="M64" s="30"/>
      <c r="N64" s="30"/>
      <c r="O64" s="30"/>
      <c r="P64" s="30"/>
      <c r="Q64" s="30"/>
      <c r="R64" s="30"/>
    </row>
    <row r="65" spans="7:18" x14ac:dyDescent="0.25">
      <c r="G65" s="30"/>
      <c r="H65" s="30"/>
      <c r="I65" s="30"/>
      <c r="J65" s="30"/>
      <c r="K65" s="30"/>
      <c r="L65" s="30"/>
      <c r="M65" s="30"/>
      <c r="N65" s="30"/>
      <c r="O65" s="30"/>
      <c r="P65" s="30"/>
      <c r="Q65" s="30"/>
      <c r="R65" s="30"/>
    </row>
    <row r="66" spans="7:18" x14ac:dyDescent="0.25">
      <c r="G66" s="30"/>
      <c r="H66" s="30"/>
      <c r="I66" s="30"/>
      <c r="J66" s="30"/>
      <c r="K66" s="30"/>
      <c r="L66" s="30"/>
      <c r="M66" s="30"/>
      <c r="N66" s="30"/>
      <c r="O66" s="30"/>
      <c r="P66" s="30"/>
      <c r="Q66" s="30"/>
      <c r="R66" s="30"/>
    </row>
    <row r="67" spans="7:18" x14ac:dyDescent="0.25">
      <c r="G67" s="30"/>
      <c r="H67" s="30"/>
      <c r="I67" s="30"/>
      <c r="J67" s="30"/>
      <c r="K67" s="30"/>
      <c r="L67" s="30"/>
      <c r="M67" s="30"/>
      <c r="N67" s="30"/>
      <c r="O67" s="30"/>
      <c r="P67" s="30"/>
      <c r="Q67" s="30"/>
      <c r="R67" s="30"/>
    </row>
    <row r="68" spans="7:18" x14ac:dyDescent="0.25">
      <c r="G68" s="30"/>
      <c r="H68" s="30"/>
      <c r="I68" s="30"/>
      <c r="J68" s="30"/>
      <c r="K68" s="30"/>
      <c r="L68" s="30"/>
      <c r="M68" s="30"/>
      <c r="N68" s="30"/>
      <c r="O68" s="30"/>
      <c r="P68" s="30"/>
      <c r="Q68" s="30"/>
      <c r="R68" s="30"/>
    </row>
    <row r="69" spans="7:18" x14ac:dyDescent="0.25">
      <c r="G69" s="30"/>
      <c r="H69" s="30"/>
      <c r="I69" s="30"/>
      <c r="J69" s="30"/>
      <c r="K69" s="30"/>
      <c r="L69" s="30"/>
      <c r="M69" s="30"/>
      <c r="N69" s="30"/>
      <c r="O69" s="30"/>
      <c r="P69" s="30"/>
      <c r="Q69" s="30"/>
      <c r="R69" s="30"/>
    </row>
    <row r="70" spans="7:18" x14ac:dyDescent="0.25">
      <c r="G70" s="31"/>
      <c r="H70" s="30"/>
      <c r="I70" s="31"/>
      <c r="J70" s="30"/>
      <c r="K70" s="30"/>
      <c r="L70" s="30"/>
      <c r="M70" s="30"/>
      <c r="N70" s="30"/>
      <c r="O70" s="30"/>
      <c r="P70" s="30"/>
      <c r="Q70" s="30"/>
      <c r="R70" s="30"/>
    </row>
    <row r="71" spans="7:18" x14ac:dyDescent="0.25"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</row>
    <row r="72" spans="7:18" x14ac:dyDescent="0.25"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</row>
    <row r="73" spans="7:18" x14ac:dyDescent="0.25"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</row>
    <row r="74" spans="7:18" x14ac:dyDescent="0.25"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</row>
    <row r="75" spans="7:18" x14ac:dyDescent="0.25">
      <c r="G75" s="30"/>
      <c r="H75" s="30"/>
      <c r="I75" s="30"/>
      <c r="J75" s="30"/>
      <c r="K75" s="30"/>
      <c r="L75" s="30"/>
      <c r="M75" s="30"/>
      <c r="N75" s="30"/>
      <c r="O75" s="30"/>
      <c r="P75" s="30"/>
      <c r="Q75" s="30"/>
      <c r="R75" s="30"/>
    </row>
    <row r="76" spans="7:18" x14ac:dyDescent="0.25"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</row>
    <row r="77" spans="7:18" x14ac:dyDescent="0.25">
      <c r="G77" s="30"/>
      <c r="H77" s="30"/>
      <c r="I77" s="30"/>
      <c r="J77" s="30"/>
      <c r="K77" s="30"/>
      <c r="L77" s="30"/>
      <c r="M77" s="30"/>
      <c r="N77" s="30"/>
      <c r="O77" s="30"/>
      <c r="P77" s="30"/>
      <c r="Q77" s="30"/>
      <c r="R77" s="30"/>
    </row>
    <row r="78" spans="7:18" x14ac:dyDescent="0.25">
      <c r="G78" s="30"/>
      <c r="H78" s="30"/>
      <c r="I78" s="30"/>
      <c r="J78" s="30"/>
      <c r="K78" s="30"/>
      <c r="L78" s="30"/>
      <c r="M78" s="30"/>
      <c r="N78" s="30"/>
      <c r="O78" s="30"/>
      <c r="P78" s="30"/>
      <c r="Q78" s="30"/>
      <c r="R78" s="30"/>
    </row>
    <row r="79" spans="7:18" x14ac:dyDescent="0.25">
      <c r="G79" s="30"/>
      <c r="H79" s="30"/>
      <c r="I79" s="30"/>
      <c r="J79" s="30"/>
      <c r="K79" s="30"/>
      <c r="L79" s="30"/>
      <c r="M79" s="30"/>
      <c r="N79" s="30"/>
      <c r="O79" s="30"/>
      <c r="P79" s="30"/>
      <c r="Q79" s="30"/>
      <c r="R79" s="30"/>
    </row>
    <row r="80" spans="7:18" x14ac:dyDescent="0.25">
      <c r="G80" s="30"/>
      <c r="H80" s="30"/>
      <c r="I80" s="30"/>
      <c r="J80" s="30"/>
      <c r="K80" s="30"/>
      <c r="L80" s="30"/>
      <c r="M80" s="30"/>
      <c r="N80" s="30"/>
      <c r="O80" s="30"/>
      <c r="P80" s="30"/>
      <c r="Q80" s="30"/>
      <c r="R80" s="30"/>
    </row>
    <row r="81" spans="7:18" x14ac:dyDescent="0.25">
      <c r="G81" s="31"/>
      <c r="H81" s="30"/>
      <c r="I81" s="31"/>
      <c r="J81" s="30"/>
      <c r="K81" s="30"/>
      <c r="L81" s="30"/>
      <c r="M81" s="30"/>
      <c r="N81" s="30"/>
      <c r="O81" s="30"/>
      <c r="P81" s="30"/>
      <c r="Q81" s="30"/>
      <c r="R81" s="30"/>
    </row>
    <row r="82" spans="7:18" x14ac:dyDescent="0.25">
      <c r="G82" s="28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</row>
    <row r="83" spans="7:18" x14ac:dyDescent="0.25">
      <c r="G83" s="30"/>
      <c r="H83" s="30"/>
      <c r="I83" s="30"/>
      <c r="J83" s="30"/>
      <c r="K83" s="30"/>
      <c r="L83" s="30"/>
      <c r="M83" s="30"/>
      <c r="N83" s="30"/>
      <c r="O83" s="30"/>
      <c r="P83" s="30"/>
      <c r="Q83" s="30"/>
      <c r="R83" s="30"/>
    </row>
    <row r="84" spans="7:18" x14ac:dyDescent="0.25">
      <c r="G84" s="30"/>
      <c r="H84" s="30"/>
      <c r="I84" s="30"/>
      <c r="J84" s="30"/>
      <c r="K84" s="30"/>
      <c r="L84" s="30"/>
      <c r="M84" s="30"/>
      <c r="N84" s="30"/>
      <c r="O84" s="30"/>
      <c r="P84" s="30"/>
      <c r="Q84" s="30"/>
      <c r="R84" s="30"/>
    </row>
    <row r="85" spans="7:18" x14ac:dyDescent="0.25">
      <c r="G85" s="30"/>
      <c r="H85" s="30"/>
      <c r="I85" s="30"/>
      <c r="J85" s="30"/>
      <c r="K85" s="30"/>
      <c r="L85" s="30"/>
      <c r="M85" s="30"/>
      <c r="N85" s="30"/>
      <c r="O85" s="30"/>
      <c r="P85" s="30"/>
      <c r="Q85" s="30"/>
      <c r="R85" s="30"/>
    </row>
    <row r="86" spans="7:18" x14ac:dyDescent="0.25">
      <c r="G86" s="30"/>
      <c r="H86" s="30"/>
      <c r="I86" s="30"/>
      <c r="J86" s="30"/>
      <c r="K86" s="30"/>
      <c r="L86" s="30"/>
      <c r="M86" s="30"/>
      <c r="N86" s="30"/>
      <c r="O86" s="30"/>
      <c r="P86" s="30"/>
      <c r="Q86" s="30"/>
      <c r="R86" s="30"/>
    </row>
    <row r="87" spans="7:18" x14ac:dyDescent="0.25">
      <c r="G87" s="30"/>
      <c r="H87" s="30"/>
      <c r="I87" s="30"/>
      <c r="J87" s="30"/>
      <c r="K87" s="30"/>
      <c r="L87" s="30"/>
      <c r="M87" s="30"/>
      <c r="N87" s="30"/>
      <c r="O87" s="30"/>
      <c r="P87" s="30"/>
      <c r="Q87" s="30"/>
      <c r="R87" s="30"/>
    </row>
    <row r="88" spans="7:18" x14ac:dyDescent="0.25">
      <c r="G88" s="30"/>
      <c r="H88" s="30"/>
      <c r="I88" s="30"/>
      <c r="J88" s="30"/>
      <c r="K88" s="30"/>
      <c r="L88" s="30"/>
      <c r="M88" s="30"/>
      <c r="N88" s="30"/>
      <c r="O88" s="30"/>
      <c r="P88" s="30"/>
      <c r="Q88" s="30"/>
      <c r="R88" s="30"/>
    </row>
    <row r="89" spans="7:18" x14ac:dyDescent="0.25">
      <c r="G89" s="30"/>
      <c r="H89" s="30"/>
      <c r="I89" s="30"/>
      <c r="J89" s="30"/>
      <c r="K89" s="30"/>
      <c r="L89" s="30"/>
      <c r="M89" s="30"/>
      <c r="N89" s="30"/>
      <c r="O89" s="30"/>
      <c r="P89" s="30"/>
      <c r="Q89" s="30"/>
      <c r="R89" s="30"/>
    </row>
    <row r="90" spans="7:18" x14ac:dyDescent="0.25">
      <c r="G90" s="20" t="s">
        <v>34</v>
      </c>
      <c r="H90" s="19"/>
      <c r="I90" s="20" t="s">
        <v>33</v>
      </c>
      <c r="J90" s="30"/>
      <c r="K90" s="24"/>
      <c r="L90" s="32"/>
      <c r="M90" s="30"/>
      <c r="N90" s="30"/>
      <c r="O90" s="30"/>
      <c r="P90" s="30"/>
      <c r="Q90" s="30"/>
      <c r="R90" s="30"/>
    </row>
    <row r="91" spans="7:18" x14ac:dyDescent="0.25">
      <c r="G91" s="30"/>
      <c r="H91" s="30"/>
      <c r="I91" s="30"/>
      <c r="J91" s="30"/>
      <c r="K91" s="4"/>
      <c r="L91" s="32"/>
      <c r="M91" s="30"/>
      <c r="N91" s="30"/>
      <c r="O91" s="30"/>
      <c r="P91" s="30"/>
      <c r="Q91" s="30"/>
      <c r="R91" s="30"/>
    </row>
    <row r="92" spans="7:18" x14ac:dyDescent="0.25">
      <c r="G92" s="30"/>
      <c r="H92" s="30"/>
      <c r="I92" s="30"/>
      <c r="J92" s="30"/>
      <c r="K92" s="24"/>
      <c r="L92" s="32"/>
      <c r="M92" s="30"/>
      <c r="N92" s="30"/>
      <c r="O92" s="30"/>
      <c r="P92" s="30"/>
      <c r="Q92" s="30"/>
      <c r="R92" s="30"/>
    </row>
    <row r="93" spans="7:18" x14ac:dyDescent="0.25">
      <c r="G93" s="30"/>
      <c r="H93" s="30"/>
      <c r="I93" s="30"/>
      <c r="J93" s="30"/>
      <c r="K93" s="4"/>
      <c r="L93" s="32"/>
      <c r="M93" s="30"/>
      <c r="N93" s="30"/>
      <c r="O93" s="30"/>
      <c r="P93" s="30"/>
      <c r="Q93" s="30"/>
      <c r="R93" s="30"/>
    </row>
    <row r="94" spans="7:18" x14ac:dyDescent="0.25">
      <c r="G94" s="30"/>
      <c r="H94" s="30"/>
      <c r="I94" s="30"/>
      <c r="J94" s="30"/>
      <c r="K94" s="4"/>
      <c r="L94" s="4"/>
      <c r="M94" s="30"/>
      <c r="N94" s="30"/>
      <c r="O94" s="30"/>
      <c r="P94" s="30"/>
      <c r="Q94" s="30"/>
      <c r="R94" s="30"/>
    </row>
    <row r="95" spans="7:18" x14ac:dyDescent="0.25">
      <c r="G95" s="30"/>
      <c r="H95" s="30"/>
      <c r="I95" s="30"/>
      <c r="J95" s="30"/>
      <c r="K95" s="4"/>
      <c r="L95" s="4"/>
      <c r="M95" s="30"/>
      <c r="N95" s="30"/>
      <c r="O95" s="30"/>
      <c r="P95" s="30"/>
      <c r="Q95" s="30"/>
      <c r="R95" s="30"/>
    </row>
    <row r="96" spans="7:18" x14ac:dyDescent="0.25">
      <c r="G96" s="30"/>
      <c r="H96" s="30"/>
      <c r="I96" s="30"/>
      <c r="J96" s="30"/>
      <c r="K96" s="24"/>
      <c r="L96" s="32"/>
      <c r="M96" s="30"/>
      <c r="N96" s="30"/>
      <c r="O96" s="30"/>
      <c r="P96" s="30"/>
      <c r="Q96" s="30"/>
      <c r="R96" s="30"/>
    </row>
    <row r="97" spans="7:18" x14ac:dyDescent="0.25">
      <c r="G97" s="30"/>
      <c r="H97" s="30"/>
      <c r="I97" s="30"/>
      <c r="J97" s="30"/>
      <c r="K97" s="4"/>
      <c r="L97" s="32"/>
      <c r="M97" s="30"/>
      <c r="N97" s="30"/>
      <c r="O97" s="30"/>
      <c r="P97" s="30"/>
      <c r="Q97" s="30"/>
      <c r="R97" s="30"/>
    </row>
    <row r="98" spans="7:18" x14ac:dyDescent="0.25">
      <c r="G98" s="30"/>
      <c r="H98" s="30"/>
      <c r="I98" s="30"/>
      <c r="J98" s="30"/>
      <c r="K98" s="24"/>
      <c r="L98" s="32"/>
      <c r="M98" s="30"/>
      <c r="N98" s="30"/>
      <c r="O98" s="30"/>
      <c r="P98" s="30"/>
      <c r="Q98" s="30"/>
      <c r="R98" s="30"/>
    </row>
    <row r="99" spans="7:18" x14ac:dyDescent="0.25">
      <c r="G99" s="30"/>
      <c r="H99" s="30"/>
      <c r="I99" s="30"/>
      <c r="J99" s="30"/>
      <c r="K99" s="4"/>
      <c r="L99" s="32"/>
      <c r="M99" s="30"/>
      <c r="N99" s="30"/>
      <c r="O99" s="30"/>
      <c r="P99" s="30"/>
      <c r="Q99" s="30"/>
      <c r="R99" s="30"/>
    </row>
    <row r="100" spans="7:18" x14ac:dyDescent="0.25">
      <c r="G100" s="30"/>
      <c r="H100" s="30"/>
      <c r="I100" s="30"/>
      <c r="J100" s="30"/>
      <c r="K100" s="30"/>
      <c r="L100" s="30"/>
      <c r="M100" s="30"/>
      <c r="N100" s="30"/>
      <c r="O100" s="30"/>
      <c r="P100" s="30"/>
      <c r="Q100" s="30"/>
      <c r="R100" s="30"/>
    </row>
    <row r="101" spans="7:18" x14ac:dyDescent="0.25">
      <c r="G101" s="30"/>
      <c r="H101" s="30"/>
      <c r="I101" s="30"/>
      <c r="J101" s="30"/>
      <c r="K101" s="30"/>
      <c r="L101" s="30"/>
      <c r="M101" s="30"/>
      <c r="N101" s="30"/>
      <c r="O101" s="30"/>
      <c r="P101" s="30"/>
      <c r="Q101" s="30"/>
      <c r="R101" s="30"/>
    </row>
    <row r="102" spans="7:18" x14ac:dyDescent="0.25">
      <c r="G102" s="30"/>
      <c r="H102" s="30"/>
      <c r="I102" s="30"/>
      <c r="J102" s="30"/>
      <c r="K102" s="30"/>
      <c r="L102" s="30"/>
      <c r="M102" s="30"/>
      <c r="N102" s="30"/>
      <c r="O102" s="30"/>
      <c r="P102" s="30"/>
      <c r="Q102" s="30"/>
      <c r="R102" s="30"/>
    </row>
    <row r="103" spans="7:18" x14ac:dyDescent="0.25"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</row>
    <row r="104" spans="7:18" x14ac:dyDescent="0.25">
      <c r="G104" s="30"/>
      <c r="H104" s="30"/>
      <c r="I104" s="30"/>
      <c r="J104" s="30"/>
      <c r="K104" s="30"/>
      <c r="L104" s="30"/>
      <c r="M104" s="30"/>
      <c r="N104" s="30"/>
      <c r="O104" s="30"/>
      <c r="P104" s="30"/>
      <c r="Q104" s="30"/>
      <c r="R104" s="30"/>
    </row>
    <row r="105" spans="7:18" x14ac:dyDescent="0.25"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</row>
    <row r="106" spans="7:18" x14ac:dyDescent="0.25"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</row>
    <row r="107" spans="7:18" x14ac:dyDescent="0.25"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</row>
    <row r="108" spans="7:18" x14ac:dyDescent="0.25"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</row>
    <row r="109" spans="7:18" x14ac:dyDescent="0.25">
      <c r="G109" s="30"/>
      <c r="H109" s="30"/>
      <c r="I109" s="30"/>
      <c r="J109" s="30"/>
      <c r="K109" s="30"/>
      <c r="L109" s="30"/>
      <c r="M109" s="30"/>
      <c r="N109" s="30"/>
      <c r="O109" s="30"/>
      <c r="P109" s="30"/>
      <c r="Q109" s="30"/>
      <c r="R109" s="30"/>
    </row>
    <row r="110" spans="7:18" x14ac:dyDescent="0.25">
      <c r="G110" s="30"/>
      <c r="H110" s="30"/>
      <c r="I110" s="30"/>
      <c r="J110" s="30"/>
      <c r="K110" s="30"/>
      <c r="L110" s="30"/>
      <c r="M110" s="30"/>
      <c r="N110" s="30"/>
      <c r="O110" s="30"/>
      <c r="P110" s="30"/>
      <c r="Q110" s="30"/>
      <c r="R110" s="30"/>
    </row>
    <row r="111" spans="7:18" x14ac:dyDescent="0.25"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</row>
    <row r="112" spans="7:18" x14ac:dyDescent="0.25">
      <c r="G112" s="30"/>
      <c r="H112" s="30"/>
      <c r="I112" s="30"/>
      <c r="J112" s="30"/>
      <c r="K112" s="30"/>
      <c r="L112" s="30"/>
      <c r="M112" s="30"/>
      <c r="N112" s="30"/>
      <c r="O112" s="30"/>
      <c r="P112" s="30"/>
      <c r="Q112" s="30"/>
      <c r="R112" s="30"/>
    </row>
    <row r="113" spans="7:18" x14ac:dyDescent="0.25">
      <c r="G113" s="30"/>
      <c r="H113" s="30"/>
      <c r="I113" s="30"/>
      <c r="J113" s="30"/>
      <c r="K113" s="30"/>
      <c r="L113" s="30"/>
      <c r="M113" s="30"/>
      <c r="N113" s="30"/>
      <c r="O113" s="30"/>
      <c r="P113" s="30"/>
      <c r="Q113" s="30"/>
      <c r="R113" s="30"/>
    </row>
    <row r="114" spans="7:18" x14ac:dyDescent="0.25">
      <c r="G114" s="30"/>
      <c r="H114" s="30"/>
      <c r="I114" s="30"/>
      <c r="J114" s="30"/>
      <c r="K114" s="30"/>
      <c r="L114" s="30"/>
      <c r="M114" s="30"/>
      <c r="N114" s="30"/>
      <c r="O114" s="30"/>
      <c r="P114" s="30"/>
      <c r="Q114" s="30"/>
      <c r="R114" s="30"/>
    </row>
    <row r="115" spans="7:18" x14ac:dyDescent="0.25">
      <c r="G115" s="30"/>
      <c r="H115" s="30"/>
      <c r="I115" s="30"/>
      <c r="J115" s="30"/>
      <c r="K115" s="30"/>
      <c r="L115" s="30"/>
      <c r="M115" s="30"/>
      <c r="N115" s="30"/>
      <c r="O115" s="30"/>
      <c r="P115" s="30"/>
      <c r="Q115" s="30"/>
      <c r="R115" s="30"/>
    </row>
    <row r="116" spans="7:18" x14ac:dyDescent="0.25">
      <c r="G116" s="30"/>
      <c r="H116" s="30"/>
      <c r="I116" s="30"/>
      <c r="J116" s="30"/>
      <c r="K116" s="30"/>
      <c r="L116" s="30"/>
      <c r="M116" s="30"/>
      <c r="N116" s="30"/>
      <c r="O116" s="30"/>
      <c r="P116" s="30"/>
      <c r="Q116" s="30"/>
      <c r="R116" s="30"/>
    </row>
    <row r="117" spans="7:18" x14ac:dyDescent="0.25">
      <c r="G117" s="30"/>
      <c r="H117" s="30"/>
      <c r="I117" s="30"/>
      <c r="J117" s="30"/>
      <c r="K117" s="30"/>
      <c r="L117" s="30"/>
      <c r="M117" s="30"/>
      <c r="N117" s="30"/>
      <c r="O117" s="30"/>
      <c r="P117" s="30"/>
      <c r="Q117" s="30"/>
      <c r="R117" s="30"/>
    </row>
    <row r="118" spans="7:18" x14ac:dyDescent="0.25">
      <c r="G118" s="30"/>
      <c r="H118" s="30"/>
      <c r="I118" s="30"/>
      <c r="J118" s="30"/>
      <c r="K118" s="30"/>
      <c r="L118" s="30"/>
      <c r="M118" s="30"/>
      <c r="N118" s="30"/>
      <c r="O118" s="30"/>
      <c r="P118" s="30"/>
      <c r="Q118" s="30"/>
      <c r="R118" s="30"/>
    </row>
    <row r="119" spans="7:18" x14ac:dyDescent="0.25">
      <c r="Q119" s="30"/>
      <c r="R119" s="30"/>
    </row>
    <row r="120" spans="7:18" x14ac:dyDescent="0.25">
      <c r="Q120" s="30"/>
      <c r="R120" s="30"/>
    </row>
    <row r="121" spans="7:18" x14ac:dyDescent="0.25">
      <c r="G121" s="20" t="s">
        <v>35</v>
      </c>
      <c r="I121" s="20" t="s">
        <v>28</v>
      </c>
      <c r="Q121" s="30"/>
      <c r="R121" s="30"/>
    </row>
    <row r="150" spans="7:9" x14ac:dyDescent="0.25">
      <c r="G150" s="20" t="s">
        <v>35</v>
      </c>
      <c r="I150" s="20" t="s">
        <v>33</v>
      </c>
    </row>
    <row r="179" spans="7:9" x14ac:dyDescent="0.25">
      <c r="G179" s="20" t="s">
        <v>36</v>
      </c>
      <c r="I179" s="20" t="s">
        <v>28</v>
      </c>
    </row>
    <row r="208" spans="7:9" x14ac:dyDescent="0.25">
      <c r="G208" s="20" t="s">
        <v>36</v>
      </c>
      <c r="I208" s="20" t="s">
        <v>33</v>
      </c>
    </row>
  </sheetData>
  <pageMargins left="0.7" right="0.7" top="0.75" bottom="0.75" header="0.3" footer="0.3"/>
  <pageSetup paperSize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02"/>
  <sheetViews>
    <sheetView topLeftCell="E1" zoomScale="80" zoomScaleNormal="80" workbookViewId="0">
      <selection activeCell="AC16" sqref="AC16"/>
    </sheetView>
  </sheetViews>
  <sheetFormatPr baseColWidth="10" defaultRowHeight="15" x14ac:dyDescent="0.25"/>
  <cols>
    <col min="2" max="2" width="86" customWidth="1"/>
    <col min="3" max="3" width="9" customWidth="1"/>
    <col min="4" max="4" width="51.7109375" customWidth="1"/>
    <col min="7" max="7" width="27.5703125" customWidth="1"/>
    <col min="8" max="8" width="8" customWidth="1"/>
    <col min="9" max="9" width="15.5703125" customWidth="1"/>
  </cols>
  <sheetData>
    <row r="1" spans="1:20" x14ac:dyDescent="0.25">
      <c r="A1" s="1"/>
      <c r="B1" s="1" t="s">
        <v>52</v>
      </c>
      <c r="C1" s="1"/>
      <c r="D1" s="1"/>
      <c r="G1" s="20" t="s">
        <v>40</v>
      </c>
    </row>
    <row r="2" spans="1:20" ht="15.75" x14ac:dyDescent="0.25">
      <c r="A2" s="1"/>
      <c r="B2" s="34" t="s">
        <v>57</v>
      </c>
      <c r="C2" s="1"/>
      <c r="D2" s="1"/>
      <c r="G2" s="19" t="s">
        <v>25</v>
      </c>
      <c r="H2" s="1"/>
      <c r="I2" s="20" t="s">
        <v>26</v>
      </c>
      <c r="J2" s="1" t="s">
        <v>38</v>
      </c>
      <c r="K2" s="1"/>
      <c r="L2" s="1"/>
      <c r="M2" s="1"/>
      <c r="N2" s="1"/>
      <c r="O2" s="1"/>
      <c r="P2" s="1"/>
      <c r="Q2" s="1"/>
      <c r="R2" s="1"/>
    </row>
    <row r="3" spans="1:20" x14ac:dyDescent="0.25">
      <c r="A3" s="1"/>
      <c r="B3" s="1"/>
      <c r="C3" s="1"/>
      <c r="D3" s="1"/>
      <c r="G3" s="19"/>
      <c r="H3" s="1"/>
      <c r="I3" s="1"/>
      <c r="J3" s="1" t="s">
        <v>39</v>
      </c>
      <c r="K3" s="1"/>
      <c r="L3" s="1"/>
      <c r="M3" s="1"/>
      <c r="N3" s="1"/>
      <c r="O3" s="1"/>
      <c r="P3" s="1"/>
      <c r="Q3" s="1"/>
      <c r="R3" s="1"/>
    </row>
    <row r="4" spans="1:20" ht="15.75" x14ac:dyDescent="0.25">
      <c r="A4" s="1"/>
      <c r="B4" s="2" t="s">
        <v>1</v>
      </c>
      <c r="C4" s="3"/>
      <c r="D4" s="4"/>
      <c r="G4" s="20" t="s">
        <v>30</v>
      </c>
      <c r="H4" s="1"/>
      <c r="I4" s="20" t="s">
        <v>28</v>
      </c>
      <c r="J4" s="19"/>
      <c r="K4" s="19"/>
      <c r="L4" s="19"/>
      <c r="M4" s="19"/>
      <c r="N4" s="19"/>
      <c r="O4" s="19"/>
      <c r="P4" s="19"/>
      <c r="Q4" s="19"/>
      <c r="R4" s="19"/>
    </row>
    <row r="5" spans="1:20" ht="15.75" x14ac:dyDescent="0.25">
      <c r="A5" s="1"/>
      <c r="B5" s="5" t="s">
        <v>42</v>
      </c>
      <c r="C5" s="6"/>
      <c r="D5" s="4"/>
      <c r="G5" s="21" t="s">
        <v>29</v>
      </c>
      <c r="H5" s="22"/>
      <c r="I5" s="21">
        <v>1</v>
      </c>
      <c r="J5" s="21">
        <v>2</v>
      </c>
      <c r="K5" s="21">
        <v>3</v>
      </c>
      <c r="L5" s="21">
        <v>4</v>
      </c>
      <c r="M5" s="21">
        <v>5</v>
      </c>
      <c r="N5" s="21">
        <v>6</v>
      </c>
      <c r="O5" s="21">
        <v>7</v>
      </c>
      <c r="P5" s="21">
        <v>8</v>
      </c>
      <c r="Q5" s="21">
        <v>9</v>
      </c>
      <c r="R5" s="21">
        <v>10</v>
      </c>
    </row>
    <row r="6" spans="1:20" x14ac:dyDescent="0.25">
      <c r="A6" s="1"/>
      <c r="B6" s="7" t="s">
        <v>3</v>
      </c>
      <c r="C6" s="7"/>
      <c r="D6" s="4"/>
      <c r="G6" s="1"/>
      <c r="H6" s="19"/>
      <c r="I6" s="1"/>
      <c r="J6" s="1"/>
      <c r="K6" s="1"/>
      <c r="L6" s="1"/>
      <c r="M6" s="1"/>
      <c r="N6" s="1"/>
      <c r="O6" s="1"/>
      <c r="P6" s="1"/>
      <c r="Q6" s="1"/>
      <c r="R6" s="1"/>
    </row>
    <row r="7" spans="1:20" x14ac:dyDescent="0.25">
      <c r="A7" s="1"/>
      <c r="B7" s="8" t="s">
        <v>4</v>
      </c>
      <c r="C7" s="8"/>
      <c r="D7" s="1"/>
      <c r="H7" t="s">
        <v>31</v>
      </c>
      <c r="I7">
        <v>48</v>
      </c>
      <c r="J7" s="1">
        <v>46</v>
      </c>
      <c r="K7" s="1">
        <v>37</v>
      </c>
      <c r="L7" s="1">
        <v>42</v>
      </c>
      <c r="M7" s="1">
        <v>45</v>
      </c>
      <c r="N7" s="1">
        <v>38</v>
      </c>
      <c r="O7" s="1">
        <v>35</v>
      </c>
      <c r="P7" s="1">
        <v>31</v>
      </c>
      <c r="Q7" s="1">
        <v>40</v>
      </c>
      <c r="R7" s="1">
        <v>46</v>
      </c>
      <c r="S7" s="37">
        <f>SUM(I7:R7)</f>
        <v>408</v>
      </c>
    </row>
    <row r="8" spans="1:20" x14ac:dyDescent="0.25">
      <c r="A8" s="1"/>
      <c r="B8" s="9" t="s">
        <v>46</v>
      </c>
      <c r="C8" s="10"/>
      <c r="D8" s="11" t="s">
        <v>6</v>
      </c>
      <c r="I8">
        <v>50</v>
      </c>
      <c r="J8">
        <v>53</v>
      </c>
      <c r="K8">
        <v>37</v>
      </c>
      <c r="L8">
        <v>45</v>
      </c>
      <c r="M8">
        <v>52</v>
      </c>
      <c r="N8">
        <v>43</v>
      </c>
      <c r="O8">
        <v>37</v>
      </c>
      <c r="P8">
        <v>35</v>
      </c>
      <c r="Q8">
        <v>40</v>
      </c>
      <c r="R8">
        <v>49</v>
      </c>
      <c r="S8" s="37">
        <f t="shared" ref="S8:S21" si="0">SUM(I8:R8)</f>
        <v>441</v>
      </c>
      <c r="T8">
        <f>S7/S8</f>
        <v>0.92517006802721091</v>
      </c>
    </row>
    <row r="9" spans="1:20" x14ac:dyDescent="0.25">
      <c r="A9" s="1"/>
      <c r="B9" s="9" t="s">
        <v>43</v>
      </c>
      <c r="C9" s="10"/>
      <c r="D9" s="12" t="s">
        <v>8</v>
      </c>
      <c r="H9" t="s">
        <v>32</v>
      </c>
      <c r="I9">
        <v>7</v>
      </c>
      <c r="J9">
        <v>4</v>
      </c>
      <c r="K9">
        <v>5</v>
      </c>
      <c r="L9">
        <v>3</v>
      </c>
      <c r="M9">
        <v>2</v>
      </c>
      <c r="N9">
        <v>5</v>
      </c>
      <c r="O9">
        <v>2</v>
      </c>
      <c r="P9">
        <v>7</v>
      </c>
      <c r="Q9">
        <v>4</v>
      </c>
      <c r="R9">
        <v>5</v>
      </c>
      <c r="S9" s="37">
        <f t="shared" si="0"/>
        <v>44</v>
      </c>
    </row>
    <row r="10" spans="1:20" x14ac:dyDescent="0.25">
      <c r="A10" s="1"/>
      <c r="B10" s="13" t="s">
        <v>23</v>
      </c>
      <c r="C10" s="13" t="s">
        <v>10</v>
      </c>
      <c r="D10" s="14" t="s">
        <v>47</v>
      </c>
      <c r="I10">
        <v>60</v>
      </c>
      <c r="J10">
        <v>53</v>
      </c>
      <c r="K10">
        <v>44</v>
      </c>
      <c r="L10">
        <v>44</v>
      </c>
      <c r="M10">
        <v>60</v>
      </c>
      <c r="N10">
        <v>35</v>
      </c>
      <c r="O10">
        <v>42</v>
      </c>
      <c r="P10">
        <v>37</v>
      </c>
      <c r="Q10">
        <v>42</v>
      </c>
      <c r="R10">
        <v>45</v>
      </c>
      <c r="S10" s="37">
        <f t="shared" si="0"/>
        <v>462</v>
      </c>
      <c r="T10">
        <f>S9/S10</f>
        <v>9.5238095238095233E-2</v>
      </c>
    </row>
    <row r="11" spans="1:20" x14ac:dyDescent="0.25">
      <c r="A11" s="1"/>
      <c r="B11" s="15" t="s">
        <v>19</v>
      </c>
      <c r="C11" s="15"/>
      <c r="D11" s="16" t="s">
        <v>48</v>
      </c>
      <c r="S11" s="37"/>
    </row>
    <row r="12" spans="1:20" x14ac:dyDescent="0.25">
      <c r="A12" s="1"/>
      <c r="B12" s="8"/>
      <c r="C12" s="8"/>
      <c r="D12" s="17"/>
      <c r="S12" s="37"/>
    </row>
    <row r="13" spans="1:20" x14ac:dyDescent="0.25">
      <c r="A13" s="1"/>
      <c r="B13" s="8"/>
      <c r="C13" s="8"/>
      <c r="D13" s="17"/>
      <c r="S13" s="37"/>
    </row>
    <row r="14" spans="1:20" x14ac:dyDescent="0.25">
      <c r="A14" s="1"/>
      <c r="B14" s="8"/>
      <c r="C14" s="8"/>
      <c r="D14" s="17"/>
      <c r="S14" s="37"/>
    </row>
    <row r="15" spans="1:20" x14ac:dyDescent="0.25">
      <c r="A15" s="1"/>
      <c r="B15" s="8"/>
      <c r="C15" s="8"/>
      <c r="D15" s="17"/>
      <c r="G15" s="20" t="s">
        <v>30</v>
      </c>
      <c r="H15" s="19"/>
      <c r="I15" s="23" t="s">
        <v>33</v>
      </c>
      <c r="J15" s="19"/>
      <c r="K15" s="19"/>
      <c r="L15" s="19"/>
      <c r="M15" s="19"/>
      <c r="N15" s="19"/>
      <c r="O15" s="19"/>
      <c r="P15" s="19"/>
      <c r="Q15" s="19"/>
      <c r="R15" s="19"/>
      <c r="S15" s="37"/>
    </row>
    <row r="16" spans="1:20" x14ac:dyDescent="0.25">
      <c r="A16" s="1"/>
      <c r="B16" s="8"/>
      <c r="C16" s="8"/>
      <c r="D16" s="17"/>
      <c r="G16" s="21" t="s">
        <v>29</v>
      </c>
      <c r="H16" s="21"/>
      <c r="I16" s="21">
        <v>1</v>
      </c>
      <c r="J16" s="21">
        <v>2</v>
      </c>
      <c r="K16" s="21">
        <v>3</v>
      </c>
      <c r="L16" s="21">
        <v>4</v>
      </c>
      <c r="M16" s="21">
        <v>5</v>
      </c>
      <c r="N16" s="21">
        <v>6</v>
      </c>
      <c r="O16" s="21">
        <v>7</v>
      </c>
      <c r="P16" s="21">
        <v>8</v>
      </c>
      <c r="Q16" s="21">
        <v>9</v>
      </c>
      <c r="R16" s="21">
        <v>10</v>
      </c>
      <c r="S16" s="37"/>
    </row>
    <row r="17" spans="1:20" x14ac:dyDescent="0.25">
      <c r="A17" s="1"/>
      <c r="B17" s="7" t="s">
        <v>14</v>
      </c>
      <c r="C17" s="7"/>
      <c r="D17" s="17"/>
      <c r="S17" s="37"/>
    </row>
    <row r="18" spans="1:20" x14ac:dyDescent="0.25">
      <c r="A18" s="1"/>
      <c r="B18" s="8" t="s">
        <v>15</v>
      </c>
      <c r="C18" s="8"/>
      <c r="D18" s="17"/>
      <c r="H18" t="s">
        <v>31</v>
      </c>
      <c r="I18">
        <v>51</v>
      </c>
      <c r="J18">
        <v>64</v>
      </c>
      <c r="K18">
        <v>48</v>
      </c>
      <c r="L18">
        <v>38</v>
      </c>
      <c r="M18">
        <v>48</v>
      </c>
      <c r="N18">
        <v>42</v>
      </c>
      <c r="O18">
        <v>42</v>
      </c>
      <c r="P18">
        <v>56</v>
      </c>
      <c r="Q18">
        <v>33</v>
      </c>
      <c r="R18">
        <v>41</v>
      </c>
      <c r="S18" s="37">
        <f t="shared" si="0"/>
        <v>463</v>
      </c>
    </row>
    <row r="19" spans="1:20" x14ac:dyDescent="0.25">
      <c r="A19" s="1"/>
      <c r="B19" s="9" t="s">
        <v>45</v>
      </c>
      <c r="C19" s="10"/>
      <c r="D19" s="1"/>
      <c r="I19">
        <v>51</v>
      </c>
      <c r="J19">
        <v>64</v>
      </c>
      <c r="K19">
        <v>51</v>
      </c>
      <c r="L19">
        <v>38</v>
      </c>
      <c r="M19">
        <v>48</v>
      </c>
      <c r="N19">
        <v>45</v>
      </c>
      <c r="O19">
        <v>46</v>
      </c>
      <c r="P19">
        <v>57</v>
      </c>
      <c r="Q19">
        <v>36</v>
      </c>
      <c r="R19">
        <v>44</v>
      </c>
      <c r="S19" s="37">
        <f t="shared" si="0"/>
        <v>480</v>
      </c>
      <c r="T19">
        <f>S18/S19</f>
        <v>0.96458333333333335</v>
      </c>
    </row>
    <row r="20" spans="1:20" x14ac:dyDescent="0.25">
      <c r="A20" s="1"/>
      <c r="B20" s="9" t="s">
        <v>44</v>
      </c>
      <c r="C20" s="10"/>
      <c r="D20" s="1"/>
      <c r="H20" t="s">
        <v>32</v>
      </c>
      <c r="I20">
        <v>13</v>
      </c>
      <c r="J20">
        <v>18</v>
      </c>
      <c r="K20">
        <v>11</v>
      </c>
      <c r="L20">
        <v>11</v>
      </c>
      <c r="M20">
        <v>16</v>
      </c>
      <c r="N20">
        <v>8</v>
      </c>
      <c r="O20">
        <v>12</v>
      </c>
      <c r="P20">
        <v>12</v>
      </c>
      <c r="Q20">
        <v>5</v>
      </c>
      <c r="R20">
        <v>12</v>
      </c>
      <c r="S20" s="37">
        <f t="shared" si="0"/>
        <v>118</v>
      </c>
    </row>
    <row r="21" spans="1:20" x14ac:dyDescent="0.25">
      <c r="A21" s="1"/>
      <c r="B21" s="1"/>
      <c r="C21" s="1"/>
      <c r="D21" s="1"/>
      <c r="I21">
        <v>55</v>
      </c>
      <c r="J21">
        <v>56</v>
      </c>
      <c r="K21">
        <v>46</v>
      </c>
      <c r="L21">
        <v>41</v>
      </c>
      <c r="M21">
        <v>48</v>
      </c>
      <c r="N21">
        <v>43</v>
      </c>
      <c r="O21">
        <v>40</v>
      </c>
      <c r="P21">
        <v>52</v>
      </c>
      <c r="Q21">
        <v>27</v>
      </c>
      <c r="R21">
        <v>43</v>
      </c>
      <c r="S21" s="37">
        <f t="shared" si="0"/>
        <v>451</v>
      </c>
      <c r="T21">
        <f>S20/S21</f>
        <v>0.2616407982261641</v>
      </c>
    </row>
    <row r="22" spans="1:20" x14ac:dyDescent="0.25">
      <c r="A22" s="1"/>
      <c r="B22" s="1"/>
      <c r="C22" s="1"/>
      <c r="D22" s="11" t="s">
        <v>6</v>
      </c>
    </row>
    <row r="23" spans="1:20" x14ac:dyDescent="0.25">
      <c r="A23" s="1"/>
      <c r="B23" s="18"/>
      <c r="C23" s="18"/>
      <c r="D23" s="12" t="s">
        <v>8</v>
      </c>
    </row>
    <row r="24" spans="1:20" x14ac:dyDescent="0.25">
      <c r="A24" s="1"/>
      <c r="B24" s="13" t="s">
        <v>23</v>
      </c>
      <c r="C24" s="13" t="s">
        <v>18</v>
      </c>
      <c r="D24" s="16" t="s">
        <v>49</v>
      </c>
    </row>
    <row r="25" spans="1:20" x14ac:dyDescent="0.25">
      <c r="A25" s="1"/>
      <c r="B25" s="15" t="s">
        <v>12</v>
      </c>
      <c r="C25" s="15"/>
      <c r="D25" s="16" t="s">
        <v>50</v>
      </c>
    </row>
    <row r="26" spans="1:20" x14ac:dyDescent="0.25">
      <c r="A26" s="1"/>
      <c r="B26" s="8"/>
      <c r="C26" s="8"/>
      <c r="D26" s="4"/>
      <c r="G26" s="20" t="s">
        <v>34</v>
      </c>
      <c r="H26" s="19"/>
      <c r="I26" s="20" t="s">
        <v>28</v>
      </c>
      <c r="J26" s="19"/>
      <c r="K26" s="19"/>
      <c r="L26" s="19"/>
      <c r="M26" s="19"/>
      <c r="N26" s="19"/>
      <c r="O26" s="19"/>
      <c r="P26" s="19"/>
      <c r="Q26" s="19"/>
      <c r="R26" s="19"/>
    </row>
    <row r="27" spans="1:20" x14ac:dyDescent="0.25">
      <c r="A27" s="1"/>
      <c r="B27" s="8"/>
      <c r="C27" s="8"/>
      <c r="D27" s="4"/>
      <c r="G27" s="27"/>
      <c r="H27" s="21"/>
      <c r="I27" s="21">
        <v>1</v>
      </c>
      <c r="J27" s="21">
        <v>2</v>
      </c>
      <c r="K27" s="21">
        <v>3</v>
      </c>
      <c r="L27" s="21">
        <v>4</v>
      </c>
      <c r="M27" s="21">
        <v>5</v>
      </c>
      <c r="N27" s="21">
        <v>6</v>
      </c>
      <c r="O27" s="21">
        <v>7</v>
      </c>
      <c r="P27" s="21">
        <v>8</v>
      </c>
      <c r="Q27" s="21">
        <v>9</v>
      </c>
      <c r="R27" s="21">
        <v>10</v>
      </c>
    </row>
    <row r="28" spans="1:20" x14ac:dyDescent="0.25">
      <c r="A28" s="1"/>
      <c r="B28" s="8"/>
      <c r="C28" s="8"/>
      <c r="D28" s="4"/>
    </row>
    <row r="29" spans="1:20" x14ac:dyDescent="0.25">
      <c r="A29" s="1"/>
      <c r="B29" s="7" t="s">
        <v>21</v>
      </c>
      <c r="C29" s="7"/>
      <c r="D29" s="4"/>
      <c r="H29" t="s">
        <v>31</v>
      </c>
      <c r="I29">
        <v>45</v>
      </c>
      <c r="J29">
        <v>30</v>
      </c>
      <c r="K29">
        <v>22</v>
      </c>
      <c r="L29">
        <v>42</v>
      </c>
      <c r="M29">
        <v>48</v>
      </c>
      <c r="N29">
        <v>34</v>
      </c>
      <c r="O29">
        <v>32</v>
      </c>
      <c r="P29">
        <v>32</v>
      </c>
      <c r="Q29">
        <v>25</v>
      </c>
      <c r="R29">
        <v>31</v>
      </c>
      <c r="S29" s="37">
        <f>SUM(I29:R29)</f>
        <v>341</v>
      </c>
    </row>
    <row r="30" spans="1:20" x14ac:dyDescent="0.25">
      <c r="A30" s="1"/>
      <c r="B30" s="8"/>
      <c r="C30" s="8"/>
      <c r="D30" s="4"/>
      <c r="I30">
        <v>46</v>
      </c>
      <c r="J30">
        <v>32</v>
      </c>
      <c r="K30">
        <v>23</v>
      </c>
      <c r="L30">
        <v>43</v>
      </c>
      <c r="M30">
        <v>50</v>
      </c>
      <c r="N30">
        <v>36</v>
      </c>
      <c r="O30">
        <v>34</v>
      </c>
      <c r="P30">
        <v>35</v>
      </c>
      <c r="Q30">
        <v>28</v>
      </c>
      <c r="R30">
        <v>31</v>
      </c>
      <c r="S30" s="37">
        <f t="shared" ref="S30:S32" si="1">SUM(I30:R30)</f>
        <v>358</v>
      </c>
      <c r="T30">
        <f>S29/S30</f>
        <v>0.95251396648044695</v>
      </c>
    </row>
    <row r="31" spans="1:20" x14ac:dyDescent="0.25">
      <c r="A31" s="1"/>
      <c r="B31" s="8"/>
      <c r="C31" s="8"/>
      <c r="D31" s="4"/>
      <c r="H31" t="s">
        <v>32</v>
      </c>
      <c r="I31">
        <v>3</v>
      </c>
      <c r="J31">
        <v>3</v>
      </c>
      <c r="K31">
        <v>5</v>
      </c>
      <c r="L31">
        <v>6</v>
      </c>
      <c r="M31">
        <v>5</v>
      </c>
      <c r="N31">
        <v>8</v>
      </c>
      <c r="O31">
        <v>3</v>
      </c>
      <c r="P31">
        <v>6</v>
      </c>
      <c r="Q31">
        <v>4</v>
      </c>
      <c r="R31">
        <v>5</v>
      </c>
      <c r="S31" s="37">
        <f t="shared" si="1"/>
        <v>48</v>
      </c>
    </row>
    <row r="32" spans="1:20" x14ac:dyDescent="0.25">
      <c r="A32" s="1"/>
      <c r="B32" s="7" t="s">
        <v>22</v>
      </c>
      <c r="C32" s="7"/>
      <c r="D32" s="4"/>
      <c r="I32">
        <v>40</v>
      </c>
      <c r="J32">
        <v>32</v>
      </c>
      <c r="K32">
        <v>23</v>
      </c>
      <c r="L32">
        <v>36</v>
      </c>
      <c r="M32">
        <v>48</v>
      </c>
      <c r="N32">
        <v>38</v>
      </c>
      <c r="O32">
        <v>34</v>
      </c>
      <c r="P32">
        <v>36</v>
      </c>
      <c r="Q32">
        <v>33</v>
      </c>
      <c r="R32">
        <v>36</v>
      </c>
      <c r="S32" s="37">
        <f t="shared" si="1"/>
        <v>356</v>
      </c>
      <c r="T32">
        <f>S31/S32</f>
        <v>0.1348314606741573</v>
      </c>
    </row>
    <row r="33" spans="1:20" x14ac:dyDescent="0.25">
      <c r="A33" s="1"/>
      <c r="B33" s="13"/>
      <c r="C33" s="13"/>
      <c r="D33" s="14"/>
      <c r="S33" s="37"/>
    </row>
    <row r="34" spans="1:20" x14ac:dyDescent="0.25">
      <c r="A34" s="1"/>
      <c r="B34" s="15"/>
      <c r="C34" s="15"/>
      <c r="D34" s="16"/>
      <c r="S34" s="37"/>
    </row>
    <row r="35" spans="1:20" x14ac:dyDescent="0.25">
      <c r="A35" s="1"/>
      <c r="B35" s="1"/>
      <c r="C35" s="1"/>
      <c r="D35" s="1"/>
      <c r="S35" s="37"/>
    </row>
    <row r="36" spans="1:20" x14ac:dyDescent="0.25">
      <c r="A36" s="1"/>
      <c r="B36" s="1"/>
      <c r="C36" s="1"/>
      <c r="D36" s="29"/>
      <c r="S36" s="37"/>
    </row>
    <row r="37" spans="1:20" x14ac:dyDescent="0.25">
      <c r="A37" s="1"/>
      <c r="B37" s="33" t="s">
        <v>41</v>
      </c>
      <c r="D37" s="32"/>
      <c r="G37" s="20" t="s">
        <v>34</v>
      </c>
      <c r="H37" s="19"/>
      <c r="I37" s="20" t="s">
        <v>33</v>
      </c>
      <c r="J37" s="19"/>
      <c r="K37" s="19"/>
      <c r="L37" s="19"/>
      <c r="M37" s="19"/>
      <c r="N37" s="19"/>
      <c r="O37" s="19"/>
      <c r="P37" s="19"/>
      <c r="Q37" s="19"/>
      <c r="R37" s="19"/>
      <c r="S37" s="37"/>
    </row>
    <row r="38" spans="1:20" x14ac:dyDescent="0.25">
      <c r="A38" s="1"/>
      <c r="B38" s="17"/>
      <c r="C38" s="4"/>
      <c r="D38" s="32"/>
      <c r="G38" s="21" t="s">
        <v>29</v>
      </c>
      <c r="H38" s="21"/>
      <c r="I38" s="21">
        <v>1</v>
      </c>
      <c r="J38" s="21">
        <v>2</v>
      </c>
      <c r="K38" s="21">
        <v>3</v>
      </c>
      <c r="L38" s="21">
        <v>4</v>
      </c>
      <c r="M38" s="21">
        <v>5</v>
      </c>
      <c r="N38" s="21">
        <v>6</v>
      </c>
      <c r="O38" s="21">
        <v>7</v>
      </c>
      <c r="P38" s="21">
        <v>8</v>
      </c>
      <c r="Q38" s="21">
        <v>9</v>
      </c>
      <c r="R38" s="21">
        <v>10</v>
      </c>
      <c r="S38" s="37"/>
    </row>
    <row r="39" spans="1:20" x14ac:dyDescent="0.25">
      <c r="A39" s="1"/>
      <c r="B39" s="17"/>
      <c r="C39" s="24"/>
      <c r="D39" s="32"/>
      <c r="S39" s="37"/>
    </row>
    <row r="40" spans="1:20" x14ac:dyDescent="0.25">
      <c r="A40" s="1"/>
      <c r="B40" s="24" t="s">
        <v>31</v>
      </c>
      <c r="C40" s="26" t="e">
        <f ca="1">INDIRECT("F"&amp;MATCH("Z:",$A:$A,0)+4)+INDIRECT("G"&amp;MATCH("Z:",$A:$A,0)+7)+INDIRECT("E"&amp;MATCH("Z:",$A:$A,0)+10)</f>
        <v>#N/A</v>
      </c>
      <c r="D40" s="32"/>
      <c r="H40" t="s">
        <v>31</v>
      </c>
      <c r="I40">
        <v>34</v>
      </c>
      <c r="J40">
        <v>59</v>
      </c>
      <c r="K40">
        <v>42</v>
      </c>
      <c r="L40">
        <v>41</v>
      </c>
      <c r="M40">
        <v>49</v>
      </c>
      <c r="N40">
        <v>34</v>
      </c>
      <c r="O40">
        <v>28</v>
      </c>
      <c r="P40">
        <v>39</v>
      </c>
      <c r="Q40">
        <v>35</v>
      </c>
      <c r="R40">
        <v>38</v>
      </c>
      <c r="S40" s="37">
        <f>SUM(I40:R40)</f>
        <v>399</v>
      </c>
    </row>
    <row r="41" spans="1:20" x14ac:dyDescent="0.25">
      <c r="B41" s="4"/>
      <c r="C41" s="26" t="e">
        <f ca="1">INDIRECT("G"&amp;MATCH("Z:",$A:$A,0)+6)+INDIRECT("D"&amp;MATCH("Z:",$A:$A,0)+10)+INDIRECT("F"&amp;MATCH("Z:",$A:$A,0)+3)</f>
        <v>#N/A</v>
      </c>
      <c r="D41" s="4"/>
      <c r="I41">
        <v>35</v>
      </c>
      <c r="J41">
        <v>59</v>
      </c>
      <c r="K41">
        <v>42</v>
      </c>
      <c r="L41">
        <v>41</v>
      </c>
      <c r="M41">
        <v>49</v>
      </c>
      <c r="N41">
        <v>35</v>
      </c>
      <c r="O41">
        <v>31</v>
      </c>
      <c r="P41">
        <v>40</v>
      </c>
      <c r="Q41">
        <v>36</v>
      </c>
      <c r="R41">
        <v>39</v>
      </c>
      <c r="S41" s="37">
        <f>SUM(I41:R41)</f>
        <v>407</v>
      </c>
      <c r="T41">
        <f>S40/S41</f>
        <v>0.98034398034398029</v>
      </c>
    </row>
    <row r="42" spans="1:20" x14ac:dyDescent="0.25">
      <c r="B42" s="24" t="s">
        <v>32</v>
      </c>
      <c r="C42" s="26" t="e">
        <f ca="1">INDIRECT("E"&amp;MATCH("Z:",$A:$A,0)+4)+INDIRECT("D"&amp;MATCH("Z:",$A:$A,0)+7)+INDIRECT("E"&amp;MATCH("Z:",$A:$A,0)+7)</f>
        <v>#N/A</v>
      </c>
      <c r="D42" s="4"/>
      <c r="H42" t="s">
        <v>32</v>
      </c>
      <c r="I42">
        <v>11</v>
      </c>
      <c r="J42">
        <v>4</v>
      </c>
      <c r="K42">
        <v>7</v>
      </c>
      <c r="L42">
        <v>12</v>
      </c>
      <c r="M42">
        <v>5</v>
      </c>
      <c r="N42">
        <v>2</v>
      </c>
      <c r="O42">
        <v>14</v>
      </c>
      <c r="P42">
        <v>5</v>
      </c>
      <c r="Q42">
        <v>9</v>
      </c>
      <c r="R42">
        <v>3</v>
      </c>
      <c r="S42" s="37">
        <f>SUM(I42:R42)</f>
        <v>72</v>
      </c>
    </row>
    <row r="43" spans="1:20" x14ac:dyDescent="0.25">
      <c r="B43" s="4"/>
      <c r="C43" s="26" t="e">
        <f ca="1">INDIRECT("E"&amp;MATCH("Z:",$A:$A,0)+3)+INDIRECT("D"&amp;MATCH("Z:",$A:$A,0)+6)+INDIRECT("E"&amp;MATCH("Z:",$A:$A,0)+6)</f>
        <v>#N/A</v>
      </c>
      <c r="D43" s="32"/>
      <c r="I43">
        <v>36</v>
      </c>
      <c r="J43">
        <v>56</v>
      </c>
      <c r="K43">
        <v>44</v>
      </c>
      <c r="L43">
        <v>45</v>
      </c>
      <c r="M43">
        <v>47</v>
      </c>
      <c r="N43">
        <v>36</v>
      </c>
      <c r="O43">
        <v>31</v>
      </c>
      <c r="P43">
        <v>43</v>
      </c>
      <c r="Q43">
        <v>37</v>
      </c>
      <c r="R43">
        <v>35</v>
      </c>
      <c r="S43" s="37">
        <f>SUM(I43:R43)</f>
        <v>410</v>
      </c>
      <c r="T43">
        <f>S42/S43</f>
        <v>0.17560975609756097</v>
      </c>
    </row>
    <row r="44" spans="1:20" x14ac:dyDescent="0.25">
      <c r="B44" s="17"/>
      <c r="C44" s="24"/>
      <c r="D44" s="32"/>
    </row>
    <row r="45" spans="1:20" x14ac:dyDescent="0.25">
      <c r="B45" s="17"/>
      <c r="C45" s="24"/>
      <c r="D45" s="32"/>
    </row>
    <row r="46" spans="1:20" x14ac:dyDescent="0.25">
      <c r="B46" s="24"/>
      <c r="C46" s="26"/>
      <c r="D46" s="32"/>
    </row>
    <row r="47" spans="1:20" x14ac:dyDescent="0.25">
      <c r="B47" s="4"/>
      <c r="C47" s="26"/>
      <c r="D47" s="30"/>
    </row>
    <row r="48" spans="1:20" x14ac:dyDescent="0.25">
      <c r="B48" s="24"/>
      <c r="C48" s="26"/>
      <c r="G48" s="20" t="s">
        <v>35</v>
      </c>
      <c r="I48" s="20" t="s">
        <v>28</v>
      </c>
    </row>
    <row r="49" spans="2:20" x14ac:dyDescent="0.25">
      <c r="B49" s="4"/>
      <c r="C49" s="26"/>
      <c r="G49" s="21" t="s">
        <v>29</v>
      </c>
      <c r="H49" s="21"/>
      <c r="I49" s="21">
        <v>1</v>
      </c>
      <c r="J49" s="21">
        <v>2</v>
      </c>
      <c r="K49" s="21">
        <v>3</v>
      </c>
      <c r="L49" s="21">
        <v>4</v>
      </c>
      <c r="M49" s="21">
        <v>5</v>
      </c>
      <c r="N49" s="21">
        <v>6</v>
      </c>
      <c r="O49" s="21">
        <v>7</v>
      </c>
      <c r="P49" s="21">
        <v>8</v>
      </c>
      <c r="Q49" s="21">
        <v>9</v>
      </c>
      <c r="R49" s="21">
        <v>10</v>
      </c>
    </row>
    <row r="50" spans="2:20" x14ac:dyDescent="0.25">
      <c r="B50" s="17"/>
      <c r="C50" s="24"/>
    </row>
    <row r="51" spans="2:20" x14ac:dyDescent="0.25">
      <c r="H51" t="s">
        <v>31</v>
      </c>
      <c r="I51">
        <v>33</v>
      </c>
      <c r="J51">
        <v>31</v>
      </c>
      <c r="K51">
        <v>24</v>
      </c>
      <c r="L51">
        <v>34</v>
      </c>
      <c r="M51">
        <v>37</v>
      </c>
      <c r="N51">
        <v>41</v>
      </c>
      <c r="O51">
        <v>23</v>
      </c>
      <c r="P51">
        <v>35</v>
      </c>
      <c r="Q51">
        <v>33</v>
      </c>
      <c r="R51">
        <v>30</v>
      </c>
      <c r="S51" s="37">
        <f>SUM(I51:R51)</f>
        <v>321</v>
      </c>
    </row>
    <row r="52" spans="2:20" x14ac:dyDescent="0.25">
      <c r="I52">
        <v>34</v>
      </c>
      <c r="J52">
        <v>32</v>
      </c>
      <c r="K52">
        <v>26</v>
      </c>
      <c r="L52">
        <v>37</v>
      </c>
      <c r="M52">
        <v>38</v>
      </c>
      <c r="N52">
        <v>42</v>
      </c>
      <c r="O52">
        <v>26</v>
      </c>
      <c r="P52">
        <v>38</v>
      </c>
      <c r="Q52">
        <v>34</v>
      </c>
      <c r="R52">
        <v>32</v>
      </c>
      <c r="S52" s="37">
        <f t="shared" ref="S52:S76" si="2">SUM(I52:R52)</f>
        <v>339</v>
      </c>
      <c r="T52">
        <f>S51/S52</f>
        <v>0.94690265486725667</v>
      </c>
    </row>
    <row r="53" spans="2:20" x14ac:dyDescent="0.25">
      <c r="H53" t="s">
        <v>32</v>
      </c>
      <c r="I53">
        <v>9</v>
      </c>
      <c r="J53">
        <v>4</v>
      </c>
      <c r="K53">
        <v>5</v>
      </c>
      <c r="L53">
        <v>3</v>
      </c>
      <c r="M53">
        <v>0</v>
      </c>
      <c r="N53">
        <v>5</v>
      </c>
      <c r="O53">
        <v>0</v>
      </c>
      <c r="P53">
        <v>1</v>
      </c>
      <c r="Q53">
        <v>5</v>
      </c>
      <c r="R53">
        <v>2</v>
      </c>
      <c r="S53" s="37">
        <f t="shared" si="2"/>
        <v>34</v>
      </c>
    </row>
    <row r="54" spans="2:20" x14ac:dyDescent="0.25">
      <c r="I54">
        <v>39</v>
      </c>
      <c r="J54">
        <v>37</v>
      </c>
      <c r="K54">
        <v>29</v>
      </c>
      <c r="L54">
        <v>38</v>
      </c>
      <c r="M54">
        <v>33</v>
      </c>
      <c r="N54">
        <v>45</v>
      </c>
      <c r="O54">
        <v>22</v>
      </c>
      <c r="P54">
        <v>38</v>
      </c>
      <c r="Q54">
        <v>38</v>
      </c>
      <c r="R54">
        <v>38</v>
      </c>
      <c r="S54" s="37">
        <f t="shared" si="2"/>
        <v>357</v>
      </c>
      <c r="T54">
        <f>S53/S54</f>
        <v>9.5238095238095233E-2</v>
      </c>
    </row>
    <row r="55" spans="2:20" x14ac:dyDescent="0.25">
      <c r="S55" s="37"/>
    </row>
    <row r="56" spans="2:20" x14ac:dyDescent="0.25">
      <c r="S56" s="37"/>
    </row>
    <row r="57" spans="2:20" x14ac:dyDescent="0.25">
      <c r="S57" s="37"/>
    </row>
    <row r="58" spans="2:20" x14ac:dyDescent="0.25">
      <c r="S58" s="37"/>
    </row>
    <row r="59" spans="2:20" x14ac:dyDescent="0.25">
      <c r="G59" s="20" t="s">
        <v>35</v>
      </c>
      <c r="I59" s="20" t="s">
        <v>33</v>
      </c>
      <c r="S59" s="37"/>
    </row>
    <row r="60" spans="2:20" x14ac:dyDescent="0.25">
      <c r="G60" s="21" t="s">
        <v>29</v>
      </c>
      <c r="H60" s="21"/>
      <c r="I60" s="21">
        <v>1</v>
      </c>
      <c r="J60" s="21">
        <v>2</v>
      </c>
      <c r="K60" s="21">
        <v>3</v>
      </c>
      <c r="L60" s="21">
        <v>4</v>
      </c>
      <c r="M60" s="21">
        <v>5</v>
      </c>
      <c r="N60" s="21">
        <v>6</v>
      </c>
      <c r="O60" s="21">
        <v>7</v>
      </c>
      <c r="P60" s="21">
        <v>8</v>
      </c>
      <c r="Q60" s="21">
        <v>9</v>
      </c>
      <c r="R60" s="21">
        <v>10</v>
      </c>
      <c r="S60" s="37"/>
    </row>
    <row r="61" spans="2:20" x14ac:dyDescent="0.25">
      <c r="S61" s="37"/>
    </row>
    <row r="62" spans="2:20" x14ac:dyDescent="0.25">
      <c r="H62" t="s">
        <v>31</v>
      </c>
      <c r="I62">
        <v>31</v>
      </c>
      <c r="J62">
        <v>33</v>
      </c>
      <c r="K62">
        <v>25</v>
      </c>
      <c r="L62">
        <v>38</v>
      </c>
      <c r="M62">
        <v>34</v>
      </c>
      <c r="N62">
        <v>36</v>
      </c>
      <c r="O62">
        <v>40</v>
      </c>
      <c r="P62">
        <v>33</v>
      </c>
      <c r="Q62">
        <v>28</v>
      </c>
      <c r="R62">
        <v>37</v>
      </c>
      <c r="S62" s="37">
        <f t="shared" si="2"/>
        <v>335</v>
      </c>
    </row>
    <row r="63" spans="2:20" x14ac:dyDescent="0.25">
      <c r="I63">
        <v>36</v>
      </c>
      <c r="J63">
        <v>35</v>
      </c>
      <c r="K63">
        <v>31</v>
      </c>
      <c r="L63">
        <v>41</v>
      </c>
      <c r="M63">
        <v>37</v>
      </c>
      <c r="N63">
        <v>36</v>
      </c>
      <c r="O63">
        <v>44</v>
      </c>
      <c r="P63">
        <v>38</v>
      </c>
      <c r="Q63">
        <v>29</v>
      </c>
      <c r="R63">
        <v>37</v>
      </c>
      <c r="S63" s="37">
        <f t="shared" si="2"/>
        <v>364</v>
      </c>
      <c r="T63">
        <f>S62/S63</f>
        <v>0.92032967032967028</v>
      </c>
    </row>
    <row r="64" spans="2:20" x14ac:dyDescent="0.25">
      <c r="H64" t="s">
        <v>32</v>
      </c>
      <c r="I64">
        <v>4</v>
      </c>
      <c r="J64">
        <v>8</v>
      </c>
      <c r="K64">
        <v>7</v>
      </c>
      <c r="L64">
        <v>3</v>
      </c>
      <c r="M64">
        <v>3</v>
      </c>
      <c r="N64">
        <v>5</v>
      </c>
      <c r="O64">
        <v>0</v>
      </c>
      <c r="P64">
        <v>5</v>
      </c>
      <c r="Q64">
        <v>4</v>
      </c>
      <c r="R64">
        <v>2</v>
      </c>
      <c r="S64" s="37">
        <f t="shared" si="2"/>
        <v>41</v>
      </c>
    </row>
    <row r="65" spans="7:20" x14ac:dyDescent="0.25">
      <c r="I65">
        <v>36</v>
      </c>
      <c r="J65">
        <v>33</v>
      </c>
      <c r="K65">
        <v>34</v>
      </c>
      <c r="L65">
        <v>38</v>
      </c>
      <c r="M65">
        <v>32</v>
      </c>
      <c r="N65">
        <v>43</v>
      </c>
      <c r="O65">
        <v>42</v>
      </c>
      <c r="P65">
        <v>26</v>
      </c>
      <c r="Q65">
        <v>24</v>
      </c>
      <c r="R65">
        <v>39</v>
      </c>
      <c r="S65" s="37">
        <f t="shared" si="2"/>
        <v>347</v>
      </c>
      <c r="T65">
        <f>S64/S65</f>
        <v>0.11815561959654179</v>
      </c>
    </row>
    <row r="70" spans="7:20" x14ac:dyDescent="0.25">
      <c r="G70" s="20" t="s">
        <v>36</v>
      </c>
      <c r="I70" s="20" t="s">
        <v>28</v>
      </c>
    </row>
    <row r="71" spans="7:20" x14ac:dyDescent="0.25">
      <c r="G71" s="21" t="s">
        <v>29</v>
      </c>
      <c r="H71" s="21"/>
      <c r="I71" s="21">
        <v>1</v>
      </c>
      <c r="J71" s="21">
        <v>2</v>
      </c>
      <c r="K71" s="21">
        <v>3</v>
      </c>
      <c r="L71" s="21">
        <v>4</v>
      </c>
      <c r="M71" s="21">
        <v>5</v>
      </c>
      <c r="N71" s="21">
        <v>6</v>
      </c>
      <c r="O71" s="21">
        <v>7</v>
      </c>
      <c r="P71" s="21">
        <v>8</v>
      </c>
      <c r="Q71" s="21">
        <v>9</v>
      </c>
      <c r="R71" s="21">
        <v>10</v>
      </c>
    </row>
    <row r="73" spans="7:20" x14ac:dyDescent="0.25">
      <c r="H73" t="s">
        <v>31</v>
      </c>
      <c r="I73">
        <v>32</v>
      </c>
      <c r="J73">
        <v>35</v>
      </c>
      <c r="K73">
        <v>34</v>
      </c>
      <c r="L73">
        <v>31</v>
      </c>
      <c r="M73">
        <v>26</v>
      </c>
      <c r="N73">
        <v>28</v>
      </c>
      <c r="O73">
        <v>30</v>
      </c>
      <c r="P73">
        <v>36</v>
      </c>
      <c r="Q73">
        <v>41</v>
      </c>
      <c r="R73">
        <v>44</v>
      </c>
      <c r="S73" s="37">
        <f t="shared" si="2"/>
        <v>337</v>
      </c>
    </row>
    <row r="74" spans="7:20" x14ac:dyDescent="0.25">
      <c r="I74">
        <v>34</v>
      </c>
      <c r="J74">
        <v>37</v>
      </c>
      <c r="K74">
        <v>38</v>
      </c>
      <c r="L74">
        <v>32</v>
      </c>
      <c r="M74">
        <v>28</v>
      </c>
      <c r="N74">
        <v>29</v>
      </c>
      <c r="O74">
        <v>31</v>
      </c>
      <c r="P74">
        <v>42</v>
      </c>
      <c r="Q74">
        <v>43</v>
      </c>
      <c r="R74">
        <v>47</v>
      </c>
      <c r="S74" s="37">
        <f t="shared" si="2"/>
        <v>361</v>
      </c>
      <c r="T74">
        <f>S73/S74</f>
        <v>0.93351800554016617</v>
      </c>
    </row>
    <row r="75" spans="7:20" x14ac:dyDescent="0.25">
      <c r="H75" t="s">
        <v>32</v>
      </c>
      <c r="I75">
        <v>0</v>
      </c>
      <c r="J75">
        <v>2</v>
      </c>
      <c r="K75">
        <v>2</v>
      </c>
      <c r="L75">
        <v>1</v>
      </c>
      <c r="M75">
        <v>3</v>
      </c>
      <c r="N75">
        <v>3</v>
      </c>
      <c r="O75">
        <v>4</v>
      </c>
      <c r="P75">
        <v>1</v>
      </c>
      <c r="Q75">
        <v>2</v>
      </c>
      <c r="R75">
        <v>5</v>
      </c>
      <c r="S75" s="37">
        <f t="shared" si="2"/>
        <v>23</v>
      </c>
    </row>
    <row r="76" spans="7:20" x14ac:dyDescent="0.25">
      <c r="I76">
        <v>36</v>
      </c>
      <c r="J76">
        <v>39</v>
      </c>
      <c r="K76">
        <v>36</v>
      </c>
      <c r="L76">
        <v>32</v>
      </c>
      <c r="M76">
        <v>29</v>
      </c>
      <c r="N76">
        <v>21</v>
      </c>
      <c r="O76">
        <v>38</v>
      </c>
      <c r="P76">
        <v>47</v>
      </c>
      <c r="Q76">
        <v>38</v>
      </c>
      <c r="R76">
        <v>48</v>
      </c>
      <c r="S76" s="37">
        <f t="shared" si="2"/>
        <v>364</v>
      </c>
      <c r="T76">
        <f>S75/S76</f>
        <v>6.3186813186813184E-2</v>
      </c>
    </row>
    <row r="77" spans="7:20" x14ac:dyDescent="0.25">
      <c r="S77" s="37"/>
    </row>
    <row r="78" spans="7:20" x14ac:dyDescent="0.25">
      <c r="S78" s="37"/>
    </row>
    <row r="79" spans="7:20" x14ac:dyDescent="0.25">
      <c r="S79" s="37"/>
    </row>
    <row r="80" spans="7:20" x14ac:dyDescent="0.25">
      <c r="S80" s="37"/>
    </row>
    <row r="81" spans="7:20" x14ac:dyDescent="0.25">
      <c r="G81" s="20" t="s">
        <v>36</v>
      </c>
      <c r="I81" s="20" t="s">
        <v>33</v>
      </c>
      <c r="S81" s="37"/>
    </row>
    <row r="82" spans="7:20" x14ac:dyDescent="0.25">
      <c r="G82" s="21" t="s">
        <v>29</v>
      </c>
      <c r="H82" s="21"/>
      <c r="I82" s="21">
        <v>1</v>
      </c>
      <c r="J82" s="21">
        <v>2</v>
      </c>
      <c r="K82" s="21">
        <v>3</v>
      </c>
      <c r="L82" s="21">
        <v>4</v>
      </c>
      <c r="M82" s="21">
        <v>5</v>
      </c>
      <c r="N82" s="21">
        <v>6</v>
      </c>
      <c r="O82" s="21">
        <v>7</v>
      </c>
      <c r="P82" s="21">
        <v>8</v>
      </c>
      <c r="Q82" s="21">
        <v>9</v>
      </c>
      <c r="R82" s="21">
        <v>10</v>
      </c>
      <c r="S82" s="37"/>
    </row>
    <row r="83" spans="7:20" x14ac:dyDescent="0.25">
      <c r="S83" s="37"/>
    </row>
    <row r="84" spans="7:20" x14ac:dyDescent="0.25">
      <c r="H84" t="s">
        <v>31</v>
      </c>
      <c r="I84">
        <v>32</v>
      </c>
      <c r="J84">
        <v>36</v>
      </c>
      <c r="K84">
        <v>31</v>
      </c>
      <c r="L84">
        <v>40</v>
      </c>
      <c r="M84">
        <v>39</v>
      </c>
      <c r="N84">
        <v>29</v>
      </c>
      <c r="O84">
        <v>45</v>
      </c>
      <c r="P84">
        <v>40</v>
      </c>
      <c r="Q84">
        <v>25</v>
      </c>
      <c r="R84">
        <v>35</v>
      </c>
      <c r="S84" s="37">
        <f>SUM(I84:R84)</f>
        <v>352</v>
      </c>
    </row>
    <row r="85" spans="7:20" x14ac:dyDescent="0.25">
      <c r="I85">
        <v>35</v>
      </c>
      <c r="J85">
        <v>40</v>
      </c>
      <c r="K85">
        <v>36</v>
      </c>
      <c r="L85">
        <v>44</v>
      </c>
      <c r="M85">
        <v>41</v>
      </c>
      <c r="N85">
        <v>37</v>
      </c>
      <c r="O85">
        <v>49</v>
      </c>
      <c r="P85">
        <v>44</v>
      </c>
      <c r="Q85">
        <v>26</v>
      </c>
      <c r="R85">
        <v>35</v>
      </c>
      <c r="S85" s="37">
        <f t="shared" ref="S85:S87" si="3">SUM(I85:R85)</f>
        <v>387</v>
      </c>
      <c r="T85">
        <f>S84/S85</f>
        <v>0.90956072351421191</v>
      </c>
    </row>
    <row r="86" spans="7:20" x14ac:dyDescent="0.25">
      <c r="H86" t="s">
        <v>32</v>
      </c>
      <c r="I86">
        <v>2</v>
      </c>
      <c r="J86">
        <v>4</v>
      </c>
      <c r="K86">
        <v>3</v>
      </c>
      <c r="L86">
        <v>5</v>
      </c>
      <c r="M86">
        <v>2</v>
      </c>
      <c r="N86">
        <v>2</v>
      </c>
      <c r="O86">
        <v>4</v>
      </c>
      <c r="P86">
        <v>11</v>
      </c>
      <c r="Q86">
        <v>4</v>
      </c>
      <c r="R86">
        <v>4</v>
      </c>
      <c r="S86" s="37">
        <f t="shared" si="3"/>
        <v>41</v>
      </c>
    </row>
    <row r="87" spans="7:20" x14ac:dyDescent="0.25">
      <c r="I87">
        <v>37</v>
      </c>
      <c r="J87">
        <v>44</v>
      </c>
      <c r="K87">
        <v>35</v>
      </c>
      <c r="L87">
        <v>42</v>
      </c>
      <c r="M87">
        <v>34</v>
      </c>
      <c r="N87">
        <v>27</v>
      </c>
      <c r="O87">
        <v>49</v>
      </c>
      <c r="P87">
        <v>42</v>
      </c>
      <c r="Q87">
        <v>32</v>
      </c>
      <c r="R87">
        <v>39</v>
      </c>
      <c r="S87" s="37">
        <f t="shared" si="3"/>
        <v>381</v>
      </c>
      <c r="T87">
        <f>S86/S87</f>
        <v>0.10761154855643044</v>
      </c>
    </row>
    <row r="88" spans="7:20" x14ac:dyDescent="0.25">
      <c r="K88" s="30"/>
      <c r="L88" s="30"/>
      <c r="M88" s="30"/>
      <c r="N88" s="30"/>
    </row>
    <row r="89" spans="7:20" x14ac:dyDescent="0.25">
      <c r="K89" s="30"/>
      <c r="L89" s="30"/>
      <c r="M89" s="30"/>
      <c r="N89" s="30"/>
    </row>
    <row r="90" spans="7:20" x14ac:dyDescent="0.25">
      <c r="K90" s="24"/>
      <c r="N90" s="30"/>
    </row>
    <row r="91" spans="7:20" x14ac:dyDescent="0.25">
      <c r="K91" s="4"/>
      <c r="N91" s="30"/>
    </row>
    <row r="92" spans="7:20" x14ac:dyDescent="0.25">
      <c r="K92" s="24"/>
      <c r="M92" t="s">
        <v>51</v>
      </c>
      <c r="N92" s="30"/>
    </row>
    <row r="93" spans="7:20" x14ac:dyDescent="0.25">
      <c r="K93" s="4"/>
      <c r="L93" s="24" t="s">
        <v>31</v>
      </c>
      <c r="M93" s="26" t="e">
        <f ca="1">INDIRECT("F"&amp;MATCH("Z:",$A:$A,0)+4)+INDIRECT("G"&amp;MATCH("Z:",$A:$A,0)+7)+INDIRECT("E"&amp;MATCH("Z:",$A:$A,0)+10)</f>
        <v>#N/A</v>
      </c>
      <c r="N93" s="30"/>
    </row>
    <row r="94" spans="7:20" x14ac:dyDescent="0.25">
      <c r="K94" s="4"/>
      <c r="L94" s="4"/>
      <c r="M94" s="26" t="e">
        <f ca="1">INDIRECT("G"&amp;MATCH("Z:",$A:$A,0)+6)+INDIRECT("D"&amp;MATCH("Z:",$A:$A,0)+10)+INDIRECT("F"&amp;MATCH("Z:",$A:$A,0)+3)</f>
        <v>#N/A</v>
      </c>
      <c r="N94" s="30"/>
    </row>
    <row r="95" spans="7:20" x14ac:dyDescent="0.25">
      <c r="K95" s="4"/>
      <c r="L95" s="24" t="s">
        <v>32</v>
      </c>
      <c r="M95" s="26" t="e">
        <f ca="1">INDIRECT("E"&amp;MATCH("Z:",$A:$A,0)+4)+INDIRECT("D"&amp;MATCH("Z:",$A:$A,0)+7)+INDIRECT("E"&amp;MATCH("Z:",$A:$A,0)+7)</f>
        <v>#N/A</v>
      </c>
      <c r="N95" s="30"/>
    </row>
    <row r="96" spans="7:20" x14ac:dyDescent="0.25">
      <c r="K96" s="24"/>
      <c r="L96" s="4"/>
      <c r="M96" s="26" t="e">
        <f ca="1">INDIRECT("E"&amp;MATCH("Z:",$A:$A,0)+3)+INDIRECT("D"&amp;MATCH("Z:",$A:$A,0)+6)+INDIRECT("E"&amp;MATCH("Z:",$A:$A,0)+6)</f>
        <v>#N/A</v>
      </c>
      <c r="N96" s="30"/>
    </row>
    <row r="97" spans="11:14" x14ac:dyDescent="0.25">
      <c r="K97" s="4"/>
      <c r="N97" s="30"/>
    </row>
    <row r="98" spans="11:14" x14ac:dyDescent="0.25">
      <c r="K98" s="24"/>
      <c r="N98" s="30"/>
    </row>
    <row r="99" spans="11:14" x14ac:dyDescent="0.25">
      <c r="K99" s="4"/>
      <c r="N99" s="30"/>
    </row>
    <row r="100" spans="11:14" x14ac:dyDescent="0.25">
      <c r="K100" s="30"/>
      <c r="N100" s="30"/>
    </row>
    <row r="101" spans="11:14" x14ac:dyDescent="0.25">
      <c r="K101" s="30"/>
      <c r="N101" s="30"/>
    </row>
    <row r="102" spans="11:14" x14ac:dyDescent="0.25">
      <c r="K102" s="30"/>
      <c r="N102" s="30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02"/>
  <sheetViews>
    <sheetView topLeftCell="C1" zoomScale="80" zoomScaleNormal="80" workbookViewId="0">
      <selection activeCell="W22" sqref="W22"/>
    </sheetView>
  </sheetViews>
  <sheetFormatPr baseColWidth="10" defaultRowHeight="15" x14ac:dyDescent="0.25"/>
  <cols>
    <col min="2" max="2" width="86" customWidth="1"/>
    <col min="3" max="3" width="9" customWidth="1"/>
    <col min="4" max="4" width="51.7109375" customWidth="1"/>
    <col min="7" max="7" width="27.5703125" customWidth="1"/>
    <col min="8" max="8" width="8" customWidth="1"/>
    <col min="9" max="9" width="15.5703125" customWidth="1"/>
  </cols>
  <sheetData>
    <row r="1" spans="1:20" x14ac:dyDescent="0.25">
      <c r="A1" s="1"/>
      <c r="B1" s="1" t="s">
        <v>52</v>
      </c>
      <c r="C1" s="1"/>
      <c r="D1" s="1"/>
      <c r="G1" s="20" t="s">
        <v>58</v>
      </c>
    </row>
    <row r="2" spans="1:20" ht="15.75" x14ac:dyDescent="0.25">
      <c r="A2" s="1"/>
      <c r="B2" s="34" t="s">
        <v>57</v>
      </c>
      <c r="C2" s="1"/>
      <c r="D2" s="1"/>
      <c r="G2" s="19" t="s">
        <v>25</v>
      </c>
      <c r="H2" s="1"/>
      <c r="I2" s="20" t="s">
        <v>59</v>
      </c>
      <c r="J2" s="1" t="s">
        <v>38</v>
      </c>
      <c r="K2" s="1"/>
      <c r="L2" s="1"/>
      <c r="M2" s="1"/>
      <c r="N2" s="1"/>
      <c r="O2" s="1"/>
      <c r="P2" s="1"/>
      <c r="Q2" s="1"/>
      <c r="R2" s="1"/>
    </row>
    <row r="3" spans="1:20" x14ac:dyDescent="0.25">
      <c r="A3" s="1"/>
      <c r="B3" s="1"/>
      <c r="C3" s="1"/>
      <c r="D3" s="1"/>
      <c r="G3" s="19"/>
      <c r="H3" s="1"/>
      <c r="I3" s="1"/>
      <c r="J3" s="1" t="s">
        <v>39</v>
      </c>
      <c r="K3" s="1"/>
      <c r="L3" s="1"/>
      <c r="M3" s="1"/>
      <c r="N3" s="1"/>
      <c r="O3" s="1"/>
      <c r="P3" s="1"/>
      <c r="Q3" s="1"/>
      <c r="R3" s="1"/>
    </row>
    <row r="4" spans="1:20" ht="15.75" x14ac:dyDescent="0.25">
      <c r="A4" s="1"/>
      <c r="B4" s="2" t="s">
        <v>1</v>
      </c>
      <c r="C4" s="3"/>
      <c r="D4" s="4"/>
      <c r="G4" s="20" t="s">
        <v>34</v>
      </c>
      <c r="H4" s="1"/>
      <c r="I4" s="20" t="s">
        <v>28</v>
      </c>
      <c r="J4" s="19"/>
      <c r="K4" s="19"/>
      <c r="L4" s="19"/>
      <c r="M4" s="19"/>
      <c r="N4" s="19"/>
      <c r="O4" s="19"/>
      <c r="P4" s="19"/>
      <c r="Q4" s="19"/>
      <c r="R4" s="19"/>
    </row>
    <row r="5" spans="1:20" ht="15.75" x14ac:dyDescent="0.25">
      <c r="A5" s="1"/>
      <c r="B5" s="5" t="s">
        <v>42</v>
      </c>
      <c r="C5" s="6"/>
      <c r="D5" s="4"/>
      <c r="G5" s="21" t="s">
        <v>29</v>
      </c>
      <c r="H5" s="22"/>
      <c r="I5" s="21">
        <v>1</v>
      </c>
      <c r="J5" s="21">
        <v>2</v>
      </c>
      <c r="K5" s="21">
        <v>3</v>
      </c>
      <c r="L5" s="21">
        <v>4</v>
      </c>
      <c r="M5" s="21">
        <v>5</v>
      </c>
      <c r="N5" s="21">
        <v>6</v>
      </c>
      <c r="O5" s="21">
        <v>7</v>
      </c>
      <c r="P5" s="21">
        <v>8</v>
      </c>
      <c r="Q5" s="21">
        <v>9</v>
      </c>
      <c r="R5" s="21">
        <v>10</v>
      </c>
    </row>
    <row r="6" spans="1:20" x14ac:dyDescent="0.25">
      <c r="A6" s="1"/>
      <c r="B6" s="7" t="s">
        <v>3</v>
      </c>
      <c r="C6" s="7"/>
      <c r="D6" s="4"/>
      <c r="G6" s="1"/>
      <c r="H6" s="19"/>
      <c r="I6" s="1"/>
      <c r="J6" s="1"/>
      <c r="K6" s="1"/>
      <c r="L6" s="1"/>
      <c r="M6" s="1"/>
      <c r="N6" s="1"/>
      <c r="O6" s="1"/>
      <c r="P6" s="1"/>
      <c r="Q6" s="1"/>
      <c r="R6" s="1"/>
    </row>
    <row r="7" spans="1:20" x14ac:dyDescent="0.25">
      <c r="A7" s="1"/>
      <c r="B7" s="8" t="s">
        <v>4</v>
      </c>
      <c r="C7" s="8"/>
      <c r="D7" s="1"/>
      <c r="H7" t="s">
        <v>31</v>
      </c>
      <c r="I7">
        <v>45</v>
      </c>
      <c r="J7" s="1">
        <v>47</v>
      </c>
      <c r="K7" s="1">
        <v>33</v>
      </c>
      <c r="L7" s="1">
        <v>48</v>
      </c>
      <c r="M7" s="1">
        <v>55</v>
      </c>
      <c r="N7" s="1">
        <v>56</v>
      </c>
      <c r="O7" s="1">
        <v>35</v>
      </c>
      <c r="P7" s="1">
        <v>44</v>
      </c>
      <c r="Q7" s="1">
        <v>38</v>
      </c>
      <c r="R7" s="1">
        <v>54</v>
      </c>
      <c r="S7" s="37">
        <f>SUM(I7:R7)</f>
        <v>455</v>
      </c>
    </row>
    <row r="8" spans="1:20" x14ac:dyDescent="0.25">
      <c r="A8" s="1"/>
      <c r="B8" s="9" t="s">
        <v>46</v>
      </c>
      <c r="C8" s="10"/>
      <c r="D8" s="11" t="s">
        <v>6</v>
      </c>
      <c r="I8">
        <v>47</v>
      </c>
      <c r="J8">
        <v>51</v>
      </c>
      <c r="K8">
        <v>34</v>
      </c>
      <c r="L8">
        <v>48</v>
      </c>
      <c r="M8">
        <v>55</v>
      </c>
      <c r="N8">
        <v>58</v>
      </c>
      <c r="O8">
        <v>39</v>
      </c>
      <c r="P8">
        <v>44</v>
      </c>
      <c r="Q8">
        <v>41</v>
      </c>
      <c r="R8">
        <v>56</v>
      </c>
      <c r="S8" s="37">
        <f t="shared" ref="S8:S21" si="0">SUM(I8:R8)</f>
        <v>473</v>
      </c>
      <c r="T8">
        <f>S7/S8</f>
        <v>0.96194503171247359</v>
      </c>
    </row>
    <row r="9" spans="1:20" x14ac:dyDescent="0.25">
      <c r="A9" s="1"/>
      <c r="B9" s="9" t="s">
        <v>43</v>
      </c>
      <c r="C9" s="10"/>
      <c r="D9" s="12" t="s">
        <v>8</v>
      </c>
      <c r="H9" t="s">
        <v>32</v>
      </c>
      <c r="I9">
        <v>2</v>
      </c>
      <c r="J9">
        <v>4</v>
      </c>
      <c r="K9">
        <v>1</v>
      </c>
      <c r="L9">
        <v>1</v>
      </c>
      <c r="M9">
        <v>7</v>
      </c>
      <c r="N9">
        <v>4</v>
      </c>
      <c r="O9">
        <v>2</v>
      </c>
      <c r="P9">
        <v>4</v>
      </c>
      <c r="Q9">
        <v>2</v>
      </c>
      <c r="R9">
        <v>2</v>
      </c>
      <c r="S9" s="37">
        <f t="shared" si="0"/>
        <v>29</v>
      </c>
    </row>
    <row r="10" spans="1:20" x14ac:dyDescent="0.25">
      <c r="A10" s="1"/>
      <c r="B10" s="13" t="s">
        <v>23</v>
      </c>
      <c r="C10" s="13" t="s">
        <v>10</v>
      </c>
      <c r="D10" s="14" t="s">
        <v>47</v>
      </c>
      <c r="I10">
        <v>47</v>
      </c>
      <c r="J10">
        <v>52</v>
      </c>
      <c r="K10">
        <v>40</v>
      </c>
      <c r="L10">
        <v>55</v>
      </c>
      <c r="M10">
        <v>51</v>
      </c>
      <c r="N10">
        <v>59</v>
      </c>
      <c r="O10">
        <v>36</v>
      </c>
      <c r="P10">
        <v>47</v>
      </c>
      <c r="Q10">
        <v>52</v>
      </c>
      <c r="R10">
        <v>49</v>
      </c>
      <c r="S10" s="37">
        <f t="shared" si="0"/>
        <v>488</v>
      </c>
      <c r="T10">
        <f>S9/S10</f>
        <v>5.9426229508196718E-2</v>
      </c>
    </row>
    <row r="11" spans="1:20" x14ac:dyDescent="0.25">
      <c r="A11" s="1"/>
      <c r="B11" s="15" t="s">
        <v>19</v>
      </c>
      <c r="C11" s="15"/>
      <c r="D11" s="16" t="s">
        <v>48</v>
      </c>
      <c r="S11" s="37"/>
    </row>
    <row r="12" spans="1:20" x14ac:dyDescent="0.25">
      <c r="A12" s="1"/>
      <c r="B12" s="8"/>
      <c r="C12" s="8"/>
      <c r="D12" s="17"/>
      <c r="S12" s="37"/>
    </row>
    <row r="13" spans="1:20" x14ac:dyDescent="0.25">
      <c r="A13" s="1"/>
      <c r="B13" s="8"/>
      <c r="C13" s="8"/>
      <c r="D13" s="17"/>
      <c r="F13" t="s">
        <v>51</v>
      </c>
      <c r="S13" s="37"/>
    </row>
    <row r="14" spans="1:20" x14ac:dyDescent="0.25">
      <c r="A14" s="1"/>
      <c r="B14" s="8"/>
      <c r="C14" s="8"/>
      <c r="D14" s="17"/>
      <c r="E14" s="24" t="s">
        <v>31</v>
      </c>
      <c r="F14" s="26" t="e">
        <f ca="1">INDIRECT("F"&amp;MATCH("Z:",$A:$A,0)+4)+INDIRECT("G"&amp;MATCH("Z:",$A:$A,0)+7)+INDIRECT("E"&amp;MATCH("Z:",$A:$A,0)+10)</f>
        <v>#N/A</v>
      </c>
      <c r="S14" s="37"/>
    </row>
    <row r="15" spans="1:20" x14ac:dyDescent="0.25">
      <c r="A15" s="1"/>
      <c r="B15" s="8"/>
      <c r="C15" s="8"/>
      <c r="D15" s="17"/>
      <c r="E15" s="4"/>
      <c r="F15" s="26" t="e">
        <f ca="1">INDIRECT("G"&amp;MATCH("Z:",$A:$A,0)+6)+INDIRECT("D"&amp;MATCH("Z:",$A:$A,0)+10)+INDIRECT("F"&amp;MATCH("Z:",$A:$A,0)+3)</f>
        <v>#N/A</v>
      </c>
      <c r="G15" s="20" t="s">
        <v>34</v>
      </c>
      <c r="H15" s="19"/>
      <c r="I15" s="23" t="s">
        <v>33</v>
      </c>
      <c r="J15" s="19"/>
      <c r="K15" s="19"/>
      <c r="L15" s="19"/>
      <c r="M15" s="19"/>
      <c r="N15" s="19"/>
      <c r="O15" s="19"/>
      <c r="P15" s="19"/>
      <c r="Q15" s="19"/>
      <c r="R15" s="19"/>
      <c r="S15" s="37"/>
    </row>
    <row r="16" spans="1:20" x14ac:dyDescent="0.25">
      <c r="A16" s="1"/>
      <c r="B16" s="8"/>
      <c r="C16" s="8"/>
      <c r="D16" s="17"/>
      <c r="E16" s="24" t="s">
        <v>32</v>
      </c>
      <c r="F16" s="26" t="e">
        <f ca="1">INDIRECT("E"&amp;MATCH("Z:",$A:$A,0)+4)+INDIRECT("D"&amp;MATCH("Z:",$A:$A,0)+7)+INDIRECT("E"&amp;MATCH("Z:",$A:$A,0)+7)</f>
        <v>#N/A</v>
      </c>
      <c r="G16" s="21" t="s">
        <v>29</v>
      </c>
      <c r="H16" s="21"/>
      <c r="I16" s="21">
        <v>1</v>
      </c>
      <c r="J16" s="21">
        <v>2</v>
      </c>
      <c r="K16" s="21">
        <v>3</v>
      </c>
      <c r="L16" s="21">
        <v>4</v>
      </c>
      <c r="M16" s="21">
        <v>5</v>
      </c>
      <c r="N16" s="21">
        <v>6</v>
      </c>
      <c r="O16" s="21">
        <v>7</v>
      </c>
      <c r="P16" s="21">
        <v>8</v>
      </c>
      <c r="Q16" s="21">
        <v>9</v>
      </c>
      <c r="R16" s="21">
        <v>10</v>
      </c>
      <c r="S16" s="37"/>
    </row>
    <row r="17" spans="1:20" x14ac:dyDescent="0.25">
      <c r="A17" s="1"/>
      <c r="B17" s="7" t="s">
        <v>14</v>
      </c>
      <c r="C17" s="7"/>
      <c r="D17" s="17"/>
      <c r="E17" s="4"/>
      <c r="F17" s="26" t="e">
        <f ca="1">INDIRECT("E"&amp;MATCH("Z:",$A:$A,0)+3)+INDIRECT("D"&amp;MATCH("Z:",$A:$A,0)+6)+INDIRECT("E"&amp;MATCH("Z:",$A:$A,0)+6)</f>
        <v>#N/A</v>
      </c>
      <c r="S17" s="37"/>
    </row>
    <row r="18" spans="1:20" x14ac:dyDescent="0.25">
      <c r="A18" s="1"/>
      <c r="B18" s="8" t="s">
        <v>15</v>
      </c>
      <c r="C18" s="8"/>
      <c r="D18" s="17"/>
      <c r="H18" t="s">
        <v>31</v>
      </c>
      <c r="I18">
        <v>47</v>
      </c>
      <c r="J18">
        <v>47</v>
      </c>
      <c r="K18">
        <v>48</v>
      </c>
      <c r="L18">
        <v>36</v>
      </c>
      <c r="M18">
        <v>39</v>
      </c>
      <c r="N18">
        <v>48</v>
      </c>
      <c r="O18">
        <v>27</v>
      </c>
      <c r="P18">
        <v>49</v>
      </c>
      <c r="Q18">
        <v>38</v>
      </c>
      <c r="R18">
        <v>38</v>
      </c>
      <c r="S18" s="37">
        <f t="shared" si="0"/>
        <v>417</v>
      </c>
    </row>
    <row r="19" spans="1:20" x14ac:dyDescent="0.25">
      <c r="A19" s="1"/>
      <c r="B19" s="9" t="s">
        <v>45</v>
      </c>
      <c r="C19" s="10"/>
      <c r="D19" s="1"/>
      <c r="I19">
        <v>49</v>
      </c>
      <c r="J19">
        <v>49</v>
      </c>
      <c r="K19">
        <v>49</v>
      </c>
      <c r="L19">
        <v>40</v>
      </c>
      <c r="M19">
        <v>39</v>
      </c>
      <c r="N19">
        <v>50</v>
      </c>
      <c r="O19">
        <v>47</v>
      </c>
      <c r="P19">
        <v>51</v>
      </c>
      <c r="Q19">
        <v>38</v>
      </c>
      <c r="R19">
        <v>40</v>
      </c>
      <c r="S19" s="37">
        <f t="shared" si="0"/>
        <v>452</v>
      </c>
      <c r="T19">
        <f>S18/S19</f>
        <v>0.92256637168141598</v>
      </c>
    </row>
    <row r="20" spans="1:20" x14ac:dyDescent="0.25">
      <c r="A20" s="1"/>
      <c r="B20" s="9" t="s">
        <v>44</v>
      </c>
      <c r="C20" s="10"/>
      <c r="D20" s="1"/>
      <c r="H20" t="s">
        <v>32</v>
      </c>
      <c r="I20">
        <v>3</v>
      </c>
      <c r="J20">
        <v>1</v>
      </c>
      <c r="K20">
        <v>0</v>
      </c>
      <c r="L20">
        <v>4</v>
      </c>
      <c r="M20">
        <v>3</v>
      </c>
      <c r="N20">
        <v>4</v>
      </c>
      <c r="O20">
        <v>3</v>
      </c>
      <c r="P20">
        <v>1</v>
      </c>
      <c r="Q20">
        <v>5</v>
      </c>
      <c r="R20">
        <v>1</v>
      </c>
      <c r="S20" s="37">
        <f t="shared" si="0"/>
        <v>25</v>
      </c>
    </row>
    <row r="21" spans="1:20" x14ac:dyDescent="0.25">
      <c r="A21" s="1"/>
      <c r="B21" s="1"/>
      <c r="C21" s="1"/>
      <c r="D21" s="1"/>
      <c r="I21">
        <v>52</v>
      </c>
      <c r="J21">
        <v>45</v>
      </c>
      <c r="K21">
        <v>43</v>
      </c>
      <c r="L21">
        <v>43</v>
      </c>
      <c r="M21">
        <v>36</v>
      </c>
      <c r="N21">
        <v>47</v>
      </c>
      <c r="O21">
        <v>51</v>
      </c>
      <c r="P21">
        <v>52</v>
      </c>
      <c r="Q21">
        <v>40</v>
      </c>
      <c r="R21">
        <v>44</v>
      </c>
      <c r="S21" s="37">
        <f t="shared" si="0"/>
        <v>453</v>
      </c>
      <c r="T21">
        <f>S20/S21</f>
        <v>5.518763796909492E-2</v>
      </c>
    </row>
    <row r="22" spans="1:20" x14ac:dyDescent="0.25">
      <c r="A22" s="1"/>
      <c r="B22" s="1"/>
      <c r="C22" s="1"/>
      <c r="D22" s="11" t="s">
        <v>6</v>
      </c>
    </row>
    <row r="23" spans="1:20" x14ac:dyDescent="0.25">
      <c r="A23" s="1"/>
      <c r="B23" s="18"/>
      <c r="C23" s="18"/>
      <c r="D23" s="12" t="s">
        <v>8</v>
      </c>
    </row>
    <row r="24" spans="1:20" x14ac:dyDescent="0.25">
      <c r="A24" s="1"/>
      <c r="B24" s="13" t="s">
        <v>23</v>
      </c>
      <c r="C24" s="13" t="s">
        <v>18</v>
      </c>
      <c r="D24" s="16" t="s">
        <v>49</v>
      </c>
    </row>
    <row r="25" spans="1:20" x14ac:dyDescent="0.25">
      <c r="A25" s="1"/>
      <c r="B25" s="15" t="s">
        <v>12</v>
      </c>
      <c r="C25" s="15"/>
      <c r="D25" s="16" t="s">
        <v>50</v>
      </c>
    </row>
    <row r="26" spans="1:20" x14ac:dyDescent="0.25">
      <c r="A26" s="1"/>
      <c r="B26" s="8"/>
      <c r="C26" s="8"/>
      <c r="D26" s="4"/>
      <c r="G26" s="20" t="s">
        <v>35</v>
      </c>
      <c r="H26" s="19"/>
      <c r="I26" s="20" t="s">
        <v>28</v>
      </c>
      <c r="J26" s="19"/>
      <c r="K26" s="19"/>
      <c r="L26" s="19"/>
      <c r="M26" s="19"/>
      <c r="N26" s="19"/>
      <c r="O26" s="19"/>
      <c r="P26" s="19"/>
      <c r="Q26" s="19"/>
      <c r="R26" s="19"/>
    </row>
    <row r="27" spans="1:20" x14ac:dyDescent="0.25">
      <c r="A27" s="1"/>
      <c r="B27" s="8"/>
      <c r="C27" s="8"/>
      <c r="D27" s="4"/>
      <c r="G27" s="27"/>
      <c r="H27" s="21"/>
      <c r="I27" s="21">
        <v>1</v>
      </c>
      <c r="J27" s="21">
        <v>2</v>
      </c>
      <c r="K27" s="21">
        <v>3</v>
      </c>
      <c r="L27" s="21">
        <v>4</v>
      </c>
      <c r="M27" s="21">
        <v>5</v>
      </c>
      <c r="N27" s="21">
        <v>6</v>
      </c>
      <c r="O27" s="21">
        <v>7</v>
      </c>
      <c r="P27" s="21">
        <v>8</v>
      </c>
      <c r="Q27" s="21">
        <v>9</v>
      </c>
      <c r="R27" s="21">
        <v>10</v>
      </c>
    </row>
    <row r="28" spans="1:20" x14ac:dyDescent="0.25">
      <c r="A28" s="1"/>
      <c r="B28" s="8"/>
      <c r="C28" s="8"/>
      <c r="D28" s="4"/>
    </row>
    <row r="29" spans="1:20" x14ac:dyDescent="0.25">
      <c r="A29" s="1"/>
      <c r="B29" s="7" t="s">
        <v>21</v>
      </c>
      <c r="C29" s="7"/>
      <c r="D29" s="4"/>
      <c r="H29" t="s">
        <v>31</v>
      </c>
      <c r="I29">
        <v>32</v>
      </c>
      <c r="J29">
        <v>41</v>
      </c>
      <c r="K29">
        <v>25</v>
      </c>
      <c r="L29">
        <v>38</v>
      </c>
      <c r="M29">
        <v>26</v>
      </c>
      <c r="N29">
        <v>39</v>
      </c>
      <c r="O29">
        <v>34</v>
      </c>
      <c r="P29">
        <v>31</v>
      </c>
      <c r="Q29">
        <v>36</v>
      </c>
      <c r="R29">
        <v>32</v>
      </c>
      <c r="S29" s="37">
        <f>SUM(I29:R29)</f>
        <v>334</v>
      </c>
    </row>
    <row r="30" spans="1:20" x14ac:dyDescent="0.25">
      <c r="A30" s="1"/>
      <c r="B30" s="8"/>
      <c r="C30" s="8"/>
      <c r="D30" s="4"/>
      <c r="I30">
        <v>32</v>
      </c>
      <c r="J30">
        <v>42</v>
      </c>
      <c r="K30">
        <v>28</v>
      </c>
      <c r="L30">
        <v>41</v>
      </c>
      <c r="M30">
        <v>33</v>
      </c>
      <c r="N30">
        <v>39</v>
      </c>
      <c r="O30">
        <v>35</v>
      </c>
      <c r="P30">
        <v>32</v>
      </c>
      <c r="Q30">
        <v>38</v>
      </c>
      <c r="R30">
        <v>32</v>
      </c>
      <c r="S30" s="37">
        <f t="shared" ref="S30:S32" si="1">SUM(I30:R30)</f>
        <v>352</v>
      </c>
      <c r="T30">
        <f>S29/S30</f>
        <v>0.94886363636363635</v>
      </c>
    </row>
    <row r="31" spans="1:20" x14ac:dyDescent="0.25">
      <c r="A31" s="1"/>
      <c r="B31" s="8"/>
      <c r="C31" s="8"/>
      <c r="D31" s="4"/>
      <c r="H31" t="s">
        <v>32</v>
      </c>
      <c r="I31">
        <v>1</v>
      </c>
      <c r="J31">
        <v>4</v>
      </c>
      <c r="K31">
        <v>2</v>
      </c>
      <c r="L31">
        <v>3</v>
      </c>
      <c r="M31">
        <v>3</v>
      </c>
      <c r="N31">
        <v>4</v>
      </c>
      <c r="O31">
        <v>2</v>
      </c>
      <c r="P31">
        <v>0</v>
      </c>
      <c r="Q31">
        <v>5</v>
      </c>
      <c r="R31">
        <v>6</v>
      </c>
      <c r="S31" s="37">
        <f t="shared" si="1"/>
        <v>30</v>
      </c>
    </row>
    <row r="32" spans="1:20" x14ac:dyDescent="0.25">
      <c r="A32" s="1"/>
      <c r="B32" s="7" t="s">
        <v>22</v>
      </c>
      <c r="C32" s="7"/>
      <c r="D32" s="4"/>
      <c r="I32">
        <v>35</v>
      </c>
      <c r="J32">
        <v>46</v>
      </c>
      <c r="K32">
        <v>33</v>
      </c>
      <c r="L32">
        <v>37</v>
      </c>
      <c r="M32">
        <v>36</v>
      </c>
      <c r="N32">
        <v>36</v>
      </c>
      <c r="O32">
        <v>45</v>
      </c>
      <c r="P32">
        <v>34</v>
      </c>
      <c r="Q32">
        <v>33</v>
      </c>
      <c r="R32">
        <v>29</v>
      </c>
      <c r="S32" s="37">
        <f t="shared" si="1"/>
        <v>364</v>
      </c>
      <c r="T32">
        <f>S31/S32</f>
        <v>8.2417582417582416E-2</v>
      </c>
    </row>
    <row r="33" spans="1:20" x14ac:dyDescent="0.25">
      <c r="A33" s="1"/>
      <c r="B33" s="13"/>
      <c r="C33" s="13"/>
      <c r="D33" s="14"/>
      <c r="S33" s="37"/>
    </row>
    <row r="34" spans="1:20" x14ac:dyDescent="0.25">
      <c r="A34" s="1"/>
      <c r="B34" s="15"/>
      <c r="C34" s="15"/>
      <c r="D34" s="16"/>
      <c r="S34" s="37"/>
    </row>
    <row r="35" spans="1:20" x14ac:dyDescent="0.25">
      <c r="A35" s="1"/>
      <c r="B35" s="1"/>
      <c r="C35" s="1"/>
      <c r="D35" s="1"/>
      <c r="S35" s="37"/>
    </row>
    <row r="36" spans="1:20" x14ac:dyDescent="0.25">
      <c r="A36" s="1"/>
      <c r="B36" s="1"/>
      <c r="C36" s="1"/>
      <c r="D36" s="29"/>
      <c r="S36" s="37"/>
    </row>
    <row r="37" spans="1:20" x14ac:dyDescent="0.25">
      <c r="A37" s="1"/>
      <c r="B37" s="33" t="s">
        <v>60</v>
      </c>
      <c r="D37" s="32"/>
      <c r="G37" s="20" t="s">
        <v>35</v>
      </c>
      <c r="H37" s="19"/>
      <c r="I37" s="20" t="s">
        <v>33</v>
      </c>
      <c r="J37" s="19"/>
      <c r="K37" s="19"/>
      <c r="L37" s="19"/>
      <c r="M37" s="19"/>
      <c r="N37" s="19"/>
      <c r="O37" s="19"/>
      <c r="P37" s="19"/>
      <c r="Q37" s="19"/>
      <c r="R37" s="19"/>
      <c r="S37" s="37"/>
    </row>
    <row r="38" spans="1:20" x14ac:dyDescent="0.25">
      <c r="A38" s="1"/>
      <c r="B38" s="17"/>
      <c r="C38" s="4"/>
      <c r="D38" s="32"/>
      <c r="G38" s="21" t="s">
        <v>29</v>
      </c>
      <c r="H38" s="21"/>
      <c r="I38" s="21">
        <v>1</v>
      </c>
      <c r="J38" s="21">
        <v>2</v>
      </c>
      <c r="K38" s="21">
        <v>3</v>
      </c>
      <c r="L38" s="21">
        <v>4</v>
      </c>
      <c r="M38" s="21">
        <v>5</v>
      </c>
      <c r="N38" s="21">
        <v>6</v>
      </c>
      <c r="O38" s="21">
        <v>7</v>
      </c>
      <c r="P38" s="21">
        <v>8</v>
      </c>
      <c r="Q38" s="21">
        <v>9</v>
      </c>
      <c r="R38" s="21">
        <v>10</v>
      </c>
      <c r="S38" s="37"/>
    </row>
    <row r="39" spans="1:20" x14ac:dyDescent="0.25">
      <c r="A39" s="1"/>
      <c r="B39" s="17"/>
      <c r="C39" s="24"/>
      <c r="D39" s="32"/>
      <c r="S39" s="37"/>
    </row>
    <row r="40" spans="1:20" x14ac:dyDescent="0.25">
      <c r="A40" s="1"/>
      <c r="B40" s="24" t="s">
        <v>31</v>
      </c>
      <c r="C40" s="26" t="e">
        <f ca="1">INDIRECT("F"&amp;MATCH("Z:",$A:$A,0)+4)+INDIRECT("G"&amp;MATCH("Z:",$A:$A,0)+7)+INDIRECT("E"&amp;MATCH("Z:",$A:$A,0)+10)</f>
        <v>#N/A</v>
      </c>
      <c r="D40" s="32"/>
      <c r="H40" t="s">
        <v>31</v>
      </c>
      <c r="I40">
        <v>15</v>
      </c>
      <c r="J40">
        <v>32</v>
      </c>
      <c r="K40">
        <v>40</v>
      </c>
      <c r="L40">
        <v>33</v>
      </c>
      <c r="M40">
        <v>32</v>
      </c>
      <c r="N40">
        <v>32</v>
      </c>
      <c r="O40">
        <v>34</v>
      </c>
      <c r="P40">
        <v>16</v>
      </c>
      <c r="Q40">
        <v>33</v>
      </c>
      <c r="R40">
        <v>35</v>
      </c>
      <c r="S40" s="37">
        <f>SUM(I40:R40)</f>
        <v>302</v>
      </c>
    </row>
    <row r="41" spans="1:20" x14ac:dyDescent="0.25">
      <c r="B41" s="4"/>
      <c r="C41" s="26" t="e">
        <f ca="1">INDIRECT("G"&amp;MATCH("Z:",$A:$A,0)+6)+INDIRECT("D"&amp;MATCH("Z:",$A:$A,0)+10)+INDIRECT("F"&amp;MATCH("Z:",$A:$A,0)+3)</f>
        <v>#N/A</v>
      </c>
      <c r="D41" s="4"/>
      <c r="I41">
        <v>31</v>
      </c>
      <c r="J41">
        <v>32</v>
      </c>
      <c r="K41">
        <v>41</v>
      </c>
      <c r="L41">
        <v>37</v>
      </c>
      <c r="M41">
        <v>35</v>
      </c>
      <c r="N41">
        <v>35</v>
      </c>
      <c r="O41">
        <v>39</v>
      </c>
      <c r="P41">
        <v>20</v>
      </c>
      <c r="Q41">
        <v>35</v>
      </c>
      <c r="R41">
        <v>38</v>
      </c>
      <c r="S41" s="37">
        <f>SUM(I41:R41)</f>
        <v>343</v>
      </c>
      <c r="T41">
        <f>S40/S41</f>
        <v>0.88046647230320696</v>
      </c>
    </row>
    <row r="42" spans="1:20" x14ac:dyDescent="0.25">
      <c r="B42" s="24" t="s">
        <v>32</v>
      </c>
      <c r="C42" s="26" t="e">
        <f ca="1">INDIRECT("E"&amp;MATCH("Z:",$A:$A,0)+4)+INDIRECT("D"&amp;MATCH("Z:",$A:$A,0)+7)+INDIRECT("E"&amp;MATCH("Z:",$A:$A,0)+7)</f>
        <v>#N/A</v>
      </c>
      <c r="D42" s="4"/>
      <c r="H42" t="s">
        <v>32</v>
      </c>
      <c r="I42">
        <v>1</v>
      </c>
      <c r="J42">
        <v>3</v>
      </c>
      <c r="K42">
        <v>3</v>
      </c>
      <c r="L42">
        <v>4</v>
      </c>
      <c r="M42">
        <v>5</v>
      </c>
      <c r="N42">
        <v>4</v>
      </c>
      <c r="O42">
        <v>1</v>
      </c>
      <c r="P42">
        <v>3</v>
      </c>
      <c r="Q42">
        <v>7</v>
      </c>
      <c r="R42">
        <v>6</v>
      </c>
      <c r="S42" s="37">
        <f>SUM(I42:R42)</f>
        <v>37</v>
      </c>
    </row>
    <row r="43" spans="1:20" x14ac:dyDescent="0.25">
      <c r="B43" s="4"/>
      <c r="C43" s="26" t="e">
        <f ca="1">INDIRECT("E"&amp;MATCH("Z:",$A:$A,0)+3)+INDIRECT("D"&amp;MATCH("Z:",$A:$A,0)+6)+INDIRECT("E"&amp;MATCH("Z:",$A:$A,0)+6)</f>
        <v>#N/A</v>
      </c>
      <c r="D43" s="32"/>
      <c r="I43">
        <v>28</v>
      </c>
      <c r="J43">
        <v>32</v>
      </c>
      <c r="K43">
        <v>46</v>
      </c>
      <c r="L43">
        <v>35</v>
      </c>
      <c r="M43">
        <v>36</v>
      </c>
      <c r="N43">
        <v>37</v>
      </c>
      <c r="O43">
        <v>33</v>
      </c>
      <c r="P43">
        <v>27</v>
      </c>
      <c r="Q43">
        <v>36</v>
      </c>
      <c r="R43">
        <v>30</v>
      </c>
      <c r="S43" s="37">
        <f>SUM(I43:R43)</f>
        <v>340</v>
      </c>
      <c r="T43">
        <f>S42/S43</f>
        <v>0.10882352941176471</v>
      </c>
    </row>
    <row r="44" spans="1:20" x14ac:dyDescent="0.25">
      <c r="B44" s="17"/>
      <c r="C44" s="24"/>
      <c r="D44" s="32"/>
      <c r="F44" t="s">
        <v>51</v>
      </c>
    </row>
    <row r="45" spans="1:20" x14ac:dyDescent="0.25">
      <c r="B45" s="17"/>
      <c r="C45" s="24"/>
      <c r="D45" s="32"/>
      <c r="E45" s="24" t="s">
        <v>31</v>
      </c>
      <c r="F45" s="26" t="e">
        <f ca="1">INDIRECT("F"&amp;MATCH("Z:",$A:$A,0)+4)+INDIRECT("G"&amp;MATCH("Z:",$A:$A,0)+7)+INDIRECT("E"&amp;MATCH("Z:",$A:$A,0)+10)</f>
        <v>#N/A</v>
      </c>
    </row>
    <row r="46" spans="1:20" x14ac:dyDescent="0.25">
      <c r="B46" s="24"/>
      <c r="C46" s="26"/>
      <c r="D46" s="32"/>
      <c r="E46" s="4"/>
      <c r="F46" s="26" t="e">
        <f ca="1">INDIRECT("G"&amp;MATCH("Z:",$A:$A,0)+6)+INDIRECT("D"&amp;MATCH("Z:",$A:$A,0)+10)+INDIRECT("F"&amp;MATCH("Z:",$A:$A,0)+3)</f>
        <v>#N/A</v>
      </c>
    </row>
    <row r="47" spans="1:20" x14ac:dyDescent="0.25">
      <c r="B47" s="4"/>
      <c r="C47" s="26"/>
      <c r="D47" s="30"/>
      <c r="E47" s="24" t="s">
        <v>32</v>
      </c>
      <c r="F47" s="26" t="e">
        <f ca="1">INDIRECT("E"&amp;MATCH("Z:",$A:$A,0)+4)+INDIRECT("D"&amp;MATCH("Z:",$A:$A,0)+7)+INDIRECT("E"&amp;MATCH("Z:",$A:$A,0)+7)</f>
        <v>#N/A</v>
      </c>
    </row>
    <row r="48" spans="1:20" x14ac:dyDescent="0.25">
      <c r="B48" s="24"/>
      <c r="C48" s="26"/>
      <c r="E48" s="4"/>
      <c r="F48" s="26" t="e">
        <f ca="1">INDIRECT("E"&amp;MATCH("Z:",$A:$A,0)+3)+INDIRECT("D"&amp;MATCH("Z:",$A:$A,0)+6)+INDIRECT("E"&amp;MATCH("Z:",$A:$A,0)+6)</f>
        <v>#N/A</v>
      </c>
      <c r="G48" s="20" t="s">
        <v>36</v>
      </c>
      <c r="I48" s="20" t="s">
        <v>28</v>
      </c>
    </row>
    <row r="49" spans="2:20" x14ac:dyDescent="0.25">
      <c r="B49" s="4"/>
      <c r="C49" s="26"/>
      <c r="G49" s="21" t="s">
        <v>29</v>
      </c>
      <c r="H49" s="21"/>
      <c r="I49" s="21">
        <v>1</v>
      </c>
      <c r="J49" s="21">
        <v>2</v>
      </c>
      <c r="K49" s="21">
        <v>3</v>
      </c>
      <c r="L49" s="21">
        <v>4</v>
      </c>
      <c r="M49" s="21">
        <v>5</v>
      </c>
      <c r="N49" s="21">
        <v>6</v>
      </c>
      <c r="O49" s="21">
        <v>7</v>
      </c>
      <c r="P49" s="21">
        <v>8</v>
      </c>
      <c r="Q49" s="21">
        <v>9</v>
      </c>
      <c r="R49" s="21">
        <v>10</v>
      </c>
    </row>
    <row r="50" spans="2:20" x14ac:dyDescent="0.25">
      <c r="B50" s="17"/>
      <c r="C50" s="24"/>
    </row>
    <row r="51" spans="2:20" x14ac:dyDescent="0.25">
      <c r="H51" t="s">
        <v>31</v>
      </c>
      <c r="I51">
        <v>42</v>
      </c>
      <c r="J51">
        <v>29</v>
      </c>
      <c r="K51">
        <v>30</v>
      </c>
      <c r="L51">
        <v>50</v>
      </c>
      <c r="M51">
        <v>31</v>
      </c>
      <c r="N51">
        <v>37</v>
      </c>
      <c r="O51">
        <v>34</v>
      </c>
      <c r="P51">
        <v>30</v>
      </c>
      <c r="Q51">
        <v>29</v>
      </c>
      <c r="R51">
        <v>38</v>
      </c>
      <c r="S51" s="37">
        <f>SUM(I51:R51)</f>
        <v>350</v>
      </c>
    </row>
    <row r="52" spans="2:20" x14ac:dyDescent="0.25">
      <c r="I52">
        <v>43</v>
      </c>
      <c r="J52">
        <v>30</v>
      </c>
      <c r="K52">
        <v>30</v>
      </c>
      <c r="L52">
        <v>50</v>
      </c>
      <c r="M52">
        <v>32</v>
      </c>
      <c r="N52">
        <v>39</v>
      </c>
      <c r="O52">
        <v>36</v>
      </c>
      <c r="P52">
        <v>32</v>
      </c>
      <c r="Q52">
        <v>30</v>
      </c>
      <c r="R52">
        <v>39</v>
      </c>
      <c r="S52" s="37">
        <f t="shared" ref="S52:S76" si="2">SUM(I52:R52)</f>
        <v>361</v>
      </c>
      <c r="T52">
        <f>S51/S52</f>
        <v>0.96952908587257614</v>
      </c>
    </row>
    <row r="53" spans="2:20" x14ac:dyDescent="0.25">
      <c r="H53" t="s">
        <v>32</v>
      </c>
      <c r="I53">
        <v>3</v>
      </c>
      <c r="J53">
        <v>1</v>
      </c>
      <c r="K53">
        <v>2</v>
      </c>
      <c r="L53">
        <v>2</v>
      </c>
      <c r="M53">
        <v>2</v>
      </c>
      <c r="N53">
        <v>0</v>
      </c>
      <c r="O53">
        <v>2</v>
      </c>
      <c r="P53">
        <v>1</v>
      </c>
      <c r="Q53">
        <v>0</v>
      </c>
      <c r="R53">
        <v>1</v>
      </c>
      <c r="S53" s="37">
        <f t="shared" si="2"/>
        <v>14</v>
      </c>
    </row>
    <row r="54" spans="2:20" x14ac:dyDescent="0.25">
      <c r="I54">
        <v>44</v>
      </c>
      <c r="J54">
        <v>23</v>
      </c>
      <c r="K54">
        <v>39</v>
      </c>
      <c r="L54">
        <v>45</v>
      </c>
      <c r="M54">
        <v>40</v>
      </c>
      <c r="N54">
        <v>38</v>
      </c>
      <c r="O54">
        <v>38</v>
      </c>
      <c r="P54">
        <v>34</v>
      </c>
      <c r="Q54">
        <v>37</v>
      </c>
      <c r="R54">
        <v>40</v>
      </c>
      <c r="S54" s="37">
        <f t="shared" si="2"/>
        <v>378</v>
      </c>
      <c r="T54">
        <f>S53/S54</f>
        <v>3.7037037037037035E-2</v>
      </c>
    </row>
    <row r="55" spans="2:20" x14ac:dyDescent="0.25">
      <c r="S55" s="37"/>
    </row>
    <row r="56" spans="2:20" x14ac:dyDescent="0.25">
      <c r="S56" s="37"/>
    </row>
    <row r="57" spans="2:20" x14ac:dyDescent="0.25">
      <c r="S57" s="37"/>
    </row>
    <row r="58" spans="2:20" x14ac:dyDescent="0.25">
      <c r="S58" s="37"/>
    </row>
    <row r="59" spans="2:20" x14ac:dyDescent="0.25">
      <c r="G59" s="20" t="s">
        <v>36</v>
      </c>
      <c r="I59" s="20" t="s">
        <v>33</v>
      </c>
      <c r="S59" s="37"/>
    </row>
    <row r="60" spans="2:20" x14ac:dyDescent="0.25">
      <c r="G60" s="21" t="s">
        <v>29</v>
      </c>
      <c r="H60" s="21"/>
      <c r="I60" s="21">
        <v>1</v>
      </c>
      <c r="J60" s="21">
        <v>2</v>
      </c>
      <c r="K60" s="21">
        <v>3</v>
      </c>
      <c r="L60" s="21">
        <v>4</v>
      </c>
      <c r="M60" s="21">
        <v>5</v>
      </c>
      <c r="N60" s="21">
        <v>6</v>
      </c>
      <c r="O60" s="21">
        <v>7</v>
      </c>
      <c r="P60" s="21">
        <v>8</v>
      </c>
      <c r="Q60" s="21">
        <v>9</v>
      </c>
      <c r="R60" s="21">
        <v>10</v>
      </c>
      <c r="S60" s="37"/>
    </row>
    <row r="61" spans="2:20" x14ac:dyDescent="0.25">
      <c r="S61" s="37"/>
    </row>
    <row r="62" spans="2:20" x14ac:dyDescent="0.25">
      <c r="H62" t="s">
        <v>31</v>
      </c>
      <c r="I62">
        <v>45</v>
      </c>
      <c r="J62">
        <v>42</v>
      </c>
      <c r="K62">
        <v>44</v>
      </c>
      <c r="L62">
        <v>30</v>
      </c>
      <c r="M62">
        <v>42</v>
      </c>
      <c r="N62">
        <v>28</v>
      </c>
      <c r="O62">
        <v>34</v>
      </c>
      <c r="P62">
        <v>31</v>
      </c>
      <c r="Q62">
        <v>34</v>
      </c>
      <c r="R62">
        <v>30</v>
      </c>
      <c r="S62" s="37">
        <f t="shared" si="2"/>
        <v>360</v>
      </c>
    </row>
    <row r="63" spans="2:20" x14ac:dyDescent="0.25">
      <c r="I63">
        <v>47</v>
      </c>
      <c r="J63">
        <v>44</v>
      </c>
      <c r="K63">
        <v>46</v>
      </c>
      <c r="L63">
        <v>30</v>
      </c>
      <c r="M63">
        <v>43</v>
      </c>
      <c r="N63">
        <v>28</v>
      </c>
      <c r="O63">
        <v>38</v>
      </c>
      <c r="P63">
        <v>31</v>
      </c>
      <c r="Q63">
        <v>34</v>
      </c>
      <c r="R63">
        <v>33</v>
      </c>
      <c r="S63" s="37">
        <f t="shared" si="2"/>
        <v>374</v>
      </c>
      <c r="T63">
        <f>S62/S63</f>
        <v>0.96256684491978606</v>
      </c>
    </row>
    <row r="64" spans="2:20" x14ac:dyDescent="0.25">
      <c r="H64" t="s">
        <v>32</v>
      </c>
      <c r="I64">
        <v>2</v>
      </c>
      <c r="J64">
        <v>1</v>
      </c>
      <c r="K64">
        <v>3</v>
      </c>
      <c r="L64">
        <v>0</v>
      </c>
      <c r="M64">
        <v>0</v>
      </c>
      <c r="N64">
        <v>2</v>
      </c>
      <c r="O64">
        <v>1</v>
      </c>
      <c r="P64">
        <v>3</v>
      </c>
      <c r="Q64">
        <v>4</v>
      </c>
      <c r="R64">
        <v>4</v>
      </c>
      <c r="S64" s="37">
        <f t="shared" si="2"/>
        <v>20</v>
      </c>
    </row>
    <row r="65" spans="5:20" x14ac:dyDescent="0.25">
      <c r="I65">
        <v>41</v>
      </c>
      <c r="J65">
        <v>45</v>
      </c>
      <c r="K65">
        <v>55</v>
      </c>
      <c r="L65">
        <v>28</v>
      </c>
      <c r="M65">
        <v>44</v>
      </c>
      <c r="N65">
        <v>36</v>
      </c>
      <c r="O65">
        <v>33</v>
      </c>
      <c r="P65">
        <v>30</v>
      </c>
      <c r="Q65">
        <v>33</v>
      </c>
      <c r="R65">
        <v>33</v>
      </c>
      <c r="S65" s="37">
        <f t="shared" si="2"/>
        <v>378</v>
      </c>
      <c r="T65">
        <f>S64/S65</f>
        <v>5.2910052910052907E-2</v>
      </c>
    </row>
    <row r="70" spans="5:20" x14ac:dyDescent="0.25">
      <c r="G70" s="20" t="s">
        <v>30</v>
      </c>
      <c r="I70" s="20" t="s">
        <v>28</v>
      </c>
    </row>
    <row r="71" spans="5:20" x14ac:dyDescent="0.25">
      <c r="F71" t="s">
        <v>51</v>
      </c>
      <c r="G71" s="21" t="s">
        <v>29</v>
      </c>
      <c r="H71" s="21"/>
      <c r="I71" s="21">
        <v>1</v>
      </c>
      <c r="J71" s="21">
        <v>2</v>
      </c>
      <c r="K71" s="21">
        <v>3</v>
      </c>
      <c r="L71" s="21">
        <v>4</v>
      </c>
      <c r="M71" s="21">
        <v>5</v>
      </c>
      <c r="N71" s="21">
        <v>6</v>
      </c>
      <c r="O71" s="21">
        <v>7</v>
      </c>
      <c r="P71" s="21">
        <v>8</v>
      </c>
      <c r="Q71" s="21">
        <v>9</v>
      </c>
      <c r="R71" s="21">
        <v>10</v>
      </c>
    </row>
    <row r="72" spans="5:20" x14ac:dyDescent="0.25">
      <c r="E72" s="24" t="s">
        <v>31</v>
      </c>
      <c r="F72" s="26" t="e">
        <f ca="1">INDIRECT("F"&amp;MATCH("Z:",$A:$A,0)+4)+INDIRECT("G"&amp;MATCH("Z:",$A:$A,0)+7)+INDIRECT("E"&amp;MATCH("Z:",$A:$A,0)+10)</f>
        <v>#N/A</v>
      </c>
    </row>
    <row r="73" spans="5:20" x14ac:dyDescent="0.25">
      <c r="E73" s="4"/>
      <c r="F73" s="26" t="e">
        <f ca="1">INDIRECT("G"&amp;MATCH("Z:",$A:$A,0)+6)+INDIRECT("D"&amp;MATCH("Z:",$A:$A,0)+10)+INDIRECT("F"&amp;MATCH("Z:",$A:$A,0)+3)</f>
        <v>#N/A</v>
      </c>
      <c r="H73" t="s">
        <v>31</v>
      </c>
      <c r="I73">
        <v>21</v>
      </c>
      <c r="J73">
        <v>20</v>
      </c>
      <c r="K73">
        <v>34</v>
      </c>
      <c r="L73">
        <v>31</v>
      </c>
      <c r="M73">
        <v>34</v>
      </c>
      <c r="N73">
        <v>32</v>
      </c>
      <c r="O73">
        <v>41</v>
      </c>
      <c r="P73">
        <v>35</v>
      </c>
      <c r="Q73">
        <v>33</v>
      </c>
      <c r="R73">
        <v>40</v>
      </c>
      <c r="S73" s="37">
        <f t="shared" si="2"/>
        <v>321</v>
      </c>
    </row>
    <row r="74" spans="5:20" x14ac:dyDescent="0.25">
      <c r="E74" s="24" t="s">
        <v>32</v>
      </c>
      <c r="F74" s="26" t="e">
        <f ca="1">INDIRECT("E"&amp;MATCH("Z:",$A:$A,0)+4)+INDIRECT("D"&amp;MATCH("Z:",$A:$A,0)+7)+INDIRECT("E"&amp;MATCH("Z:",$A:$A,0)+7)</f>
        <v>#N/A</v>
      </c>
      <c r="I74">
        <v>27</v>
      </c>
      <c r="J74">
        <v>24</v>
      </c>
      <c r="K74">
        <v>40</v>
      </c>
      <c r="L74">
        <v>34</v>
      </c>
      <c r="M74">
        <v>37</v>
      </c>
      <c r="N74">
        <v>36</v>
      </c>
      <c r="O74">
        <v>43</v>
      </c>
      <c r="P74">
        <v>39</v>
      </c>
      <c r="Q74">
        <v>41</v>
      </c>
      <c r="R74">
        <v>46</v>
      </c>
      <c r="S74" s="37">
        <f t="shared" si="2"/>
        <v>367</v>
      </c>
      <c r="T74">
        <f>S73/S74</f>
        <v>0.87465940054495916</v>
      </c>
    </row>
    <row r="75" spans="5:20" x14ac:dyDescent="0.25">
      <c r="E75" s="4"/>
      <c r="F75" s="26" t="e">
        <f ca="1">INDIRECT("E"&amp;MATCH("Z:",$A:$A,0)+3)+INDIRECT("D"&amp;MATCH("Z:",$A:$A,0)+6)+INDIRECT("E"&amp;MATCH("Z:",$A:$A,0)+6)</f>
        <v>#N/A</v>
      </c>
      <c r="H75" t="s">
        <v>32</v>
      </c>
      <c r="I75">
        <v>2</v>
      </c>
      <c r="J75">
        <v>4</v>
      </c>
      <c r="K75">
        <v>2</v>
      </c>
      <c r="L75">
        <v>3</v>
      </c>
      <c r="M75">
        <v>2</v>
      </c>
      <c r="N75">
        <v>4</v>
      </c>
      <c r="O75">
        <v>2</v>
      </c>
      <c r="P75">
        <v>0</v>
      </c>
      <c r="Q75">
        <v>1</v>
      </c>
      <c r="R75">
        <v>1</v>
      </c>
      <c r="S75" s="37">
        <f t="shared" si="2"/>
        <v>21</v>
      </c>
    </row>
    <row r="76" spans="5:20" x14ac:dyDescent="0.25">
      <c r="I76">
        <v>27</v>
      </c>
      <c r="J76">
        <v>27</v>
      </c>
      <c r="K76">
        <v>37</v>
      </c>
      <c r="L76">
        <v>42</v>
      </c>
      <c r="M76">
        <v>36</v>
      </c>
      <c r="N76">
        <v>35</v>
      </c>
      <c r="O76">
        <v>47</v>
      </c>
      <c r="P76">
        <v>35</v>
      </c>
      <c r="Q76">
        <v>41</v>
      </c>
      <c r="R76">
        <v>39</v>
      </c>
      <c r="S76" s="37">
        <f t="shared" si="2"/>
        <v>366</v>
      </c>
      <c r="T76">
        <f>S75/S76</f>
        <v>5.737704918032787E-2</v>
      </c>
    </row>
    <row r="77" spans="5:20" x14ac:dyDescent="0.25">
      <c r="S77" s="37"/>
    </row>
    <row r="78" spans="5:20" x14ac:dyDescent="0.25">
      <c r="S78" s="37"/>
    </row>
    <row r="79" spans="5:20" x14ac:dyDescent="0.25">
      <c r="S79" s="37"/>
    </row>
    <row r="80" spans="5:20" x14ac:dyDescent="0.25">
      <c r="S80" s="37"/>
    </row>
    <row r="81" spans="7:20" x14ac:dyDescent="0.25">
      <c r="G81" s="20" t="s">
        <v>30</v>
      </c>
      <c r="I81" s="20" t="s">
        <v>33</v>
      </c>
      <c r="S81" s="37"/>
    </row>
    <row r="82" spans="7:20" x14ac:dyDescent="0.25">
      <c r="G82" s="21" t="s">
        <v>29</v>
      </c>
      <c r="H82" s="21"/>
      <c r="I82" s="21">
        <v>1</v>
      </c>
      <c r="J82" s="21">
        <v>2</v>
      </c>
      <c r="K82" s="21">
        <v>3</v>
      </c>
      <c r="L82" s="21">
        <v>4</v>
      </c>
      <c r="M82" s="21">
        <v>5</v>
      </c>
      <c r="N82" s="21">
        <v>6</v>
      </c>
      <c r="O82" s="21">
        <v>7</v>
      </c>
      <c r="P82" s="21">
        <v>8</v>
      </c>
      <c r="Q82" s="21">
        <v>9</v>
      </c>
      <c r="R82" s="21">
        <v>10</v>
      </c>
      <c r="S82" s="37"/>
    </row>
    <row r="83" spans="7:20" x14ac:dyDescent="0.25">
      <c r="S83" s="37"/>
    </row>
    <row r="84" spans="7:20" x14ac:dyDescent="0.25">
      <c r="H84" t="s">
        <v>31</v>
      </c>
      <c r="I84">
        <v>26</v>
      </c>
      <c r="J84">
        <v>49</v>
      </c>
      <c r="K84">
        <v>39</v>
      </c>
      <c r="L84">
        <v>44</v>
      </c>
      <c r="M84">
        <v>45</v>
      </c>
      <c r="N84">
        <v>33</v>
      </c>
      <c r="O84">
        <v>25</v>
      </c>
      <c r="P84">
        <v>36</v>
      </c>
      <c r="Q84">
        <v>53</v>
      </c>
      <c r="R84">
        <v>39</v>
      </c>
      <c r="S84" s="37">
        <f>SUM(I84:R84)</f>
        <v>389</v>
      </c>
    </row>
    <row r="85" spans="7:20" x14ac:dyDescent="0.25">
      <c r="I85">
        <v>28</v>
      </c>
      <c r="J85">
        <v>49</v>
      </c>
      <c r="K85">
        <v>40</v>
      </c>
      <c r="L85">
        <v>47</v>
      </c>
      <c r="M85">
        <v>47</v>
      </c>
      <c r="N85">
        <v>36</v>
      </c>
      <c r="O85">
        <v>31</v>
      </c>
      <c r="P85">
        <v>38</v>
      </c>
      <c r="Q85">
        <v>57</v>
      </c>
      <c r="R85">
        <v>43</v>
      </c>
      <c r="S85" s="37">
        <f t="shared" ref="S85:S87" si="3">SUM(I85:R85)</f>
        <v>416</v>
      </c>
      <c r="T85">
        <f>S84/S85</f>
        <v>0.93509615384615385</v>
      </c>
    </row>
    <row r="86" spans="7:20" x14ac:dyDescent="0.25">
      <c r="H86" t="s">
        <v>32</v>
      </c>
      <c r="I86">
        <v>3</v>
      </c>
      <c r="J86">
        <v>1</v>
      </c>
      <c r="K86">
        <v>2</v>
      </c>
      <c r="L86">
        <v>6</v>
      </c>
      <c r="M86">
        <v>3</v>
      </c>
      <c r="N86">
        <v>7</v>
      </c>
      <c r="O86">
        <v>5</v>
      </c>
      <c r="P86">
        <v>2</v>
      </c>
      <c r="Q86">
        <v>10</v>
      </c>
      <c r="R86">
        <v>4</v>
      </c>
      <c r="S86" s="37">
        <f t="shared" si="3"/>
        <v>43</v>
      </c>
    </row>
    <row r="87" spans="7:20" x14ac:dyDescent="0.25">
      <c r="I87">
        <v>32</v>
      </c>
      <c r="J87">
        <v>37</v>
      </c>
      <c r="K87">
        <v>37</v>
      </c>
      <c r="L87">
        <v>45</v>
      </c>
      <c r="M87">
        <v>42</v>
      </c>
      <c r="N87">
        <v>35</v>
      </c>
      <c r="O87">
        <v>36</v>
      </c>
      <c r="P87">
        <v>27</v>
      </c>
      <c r="Q87">
        <v>53</v>
      </c>
      <c r="R87">
        <v>45</v>
      </c>
      <c r="S87" s="37">
        <f t="shared" si="3"/>
        <v>389</v>
      </c>
      <c r="T87">
        <f>S86/S87</f>
        <v>0.11053984575835475</v>
      </c>
    </row>
    <row r="88" spans="7:20" x14ac:dyDescent="0.25">
      <c r="K88" s="30"/>
      <c r="L88" s="30"/>
      <c r="M88" s="30"/>
      <c r="N88" s="30"/>
    </row>
    <row r="89" spans="7:20" x14ac:dyDescent="0.25">
      <c r="K89" s="30"/>
      <c r="L89" s="30"/>
      <c r="M89" s="30"/>
      <c r="N89" s="30"/>
    </row>
    <row r="90" spans="7:20" x14ac:dyDescent="0.25">
      <c r="K90" s="24"/>
      <c r="N90" s="30"/>
    </row>
    <row r="91" spans="7:20" x14ac:dyDescent="0.25">
      <c r="K91" s="4"/>
      <c r="N91" s="30"/>
    </row>
    <row r="92" spans="7:20" x14ac:dyDescent="0.25">
      <c r="K92" s="24"/>
      <c r="M92" t="s">
        <v>51</v>
      </c>
      <c r="N92" s="30"/>
    </row>
    <row r="93" spans="7:20" x14ac:dyDescent="0.25">
      <c r="K93" s="4"/>
      <c r="L93" s="24" t="s">
        <v>31</v>
      </c>
      <c r="M93" s="26" t="e">
        <f ca="1">INDIRECT("F"&amp;MATCH("Z:",$A:$A,0)+4)+INDIRECT("G"&amp;MATCH("Z:",$A:$A,0)+7)+INDIRECT("E"&amp;MATCH("Z:",$A:$A,0)+10)</f>
        <v>#N/A</v>
      </c>
      <c r="N93" s="30"/>
    </row>
    <row r="94" spans="7:20" x14ac:dyDescent="0.25">
      <c r="K94" s="4"/>
      <c r="L94" s="4"/>
      <c r="M94" s="26" t="e">
        <f ca="1">INDIRECT("G"&amp;MATCH("Z:",$A:$A,0)+6)+INDIRECT("D"&amp;MATCH("Z:",$A:$A,0)+10)+INDIRECT("F"&amp;MATCH("Z:",$A:$A,0)+3)</f>
        <v>#N/A</v>
      </c>
      <c r="N94" s="30"/>
    </row>
    <row r="95" spans="7:20" x14ac:dyDescent="0.25">
      <c r="K95" s="4"/>
      <c r="L95" s="24" t="s">
        <v>32</v>
      </c>
      <c r="M95" s="26" t="e">
        <f ca="1">INDIRECT("E"&amp;MATCH("Z:",$A:$A,0)+4)+INDIRECT("D"&amp;MATCH("Z:",$A:$A,0)+7)+INDIRECT("E"&amp;MATCH("Z:",$A:$A,0)+7)</f>
        <v>#N/A</v>
      </c>
      <c r="N95" s="30"/>
    </row>
    <row r="96" spans="7:20" x14ac:dyDescent="0.25">
      <c r="K96" s="24"/>
      <c r="L96" s="4"/>
      <c r="M96" s="26" t="e">
        <f ca="1">INDIRECT("E"&amp;MATCH("Z:",$A:$A,0)+3)+INDIRECT("D"&amp;MATCH("Z:",$A:$A,0)+6)+INDIRECT("E"&amp;MATCH("Z:",$A:$A,0)+6)</f>
        <v>#N/A</v>
      </c>
      <c r="N96" s="30"/>
    </row>
    <row r="97" spans="11:14" x14ac:dyDescent="0.25">
      <c r="K97" s="4"/>
      <c r="N97" s="30"/>
    </row>
    <row r="98" spans="11:14" x14ac:dyDescent="0.25">
      <c r="K98" s="24"/>
      <c r="N98" s="30"/>
    </row>
    <row r="99" spans="11:14" x14ac:dyDescent="0.25">
      <c r="K99" s="4"/>
      <c r="N99" s="30"/>
    </row>
    <row r="100" spans="11:14" x14ac:dyDescent="0.25">
      <c r="K100" s="30"/>
      <c r="N100" s="30"/>
    </row>
    <row r="101" spans="11:14" x14ac:dyDescent="0.25">
      <c r="K101" s="30"/>
      <c r="N101" s="30"/>
    </row>
    <row r="102" spans="11:14" x14ac:dyDescent="0.25">
      <c r="K102" s="30"/>
      <c r="N102" s="3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02"/>
  <sheetViews>
    <sheetView topLeftCell="C1" zoomScale="80" zoomScaleNormal="80" workbookViewId="0">
      <selection activeCell="U22" sqref="U22"/>
    </sheetView>
  </sheetViews>
  <sheetFormatPr baseColWidth="10" defaultRowHeight="15" x14ac:dyDescent="0.25"/>
  <cols>
    <col min="2" max="2" width="86" customWidth="1"/>
    <col min="3" max="3" width="9" customWidth="1"/>
    <col min="4" max="4" width="51.7109375" customWidth="1"/>
    <col min="7" max="7" width="27.5703125" customWidth="1"/>
    <col min="8" max="8" width="8" customWidth="1"/>
    <col min="9" max="9" width="15.5703125" customWidth="1"/>
  </cols>
  <sheetData>
    <row r="1" spans="1:20" x14ac:dyDescent="0.25">
      <c r="A1" s="1"/>
      <c r="B1" s="1" t="s">
        <v>52</v>
      </c>
      <c r="C1" s="1"/>
      <c r="D1" s="1"/>
      <c r="G1" s="20" t="s">
        <v>65</v>
      </c>
    </row>
    <row r="2" spans="1:20" ht="15.75" x14ac:dyDescent="0.25">
      <c r="A2" s="1"/>
      <c r="B2" s="34" t="s">
        <v>57</v>
      </c>
      <c r="C2" s="1"/>
      <c r="D2" s="1"/>
      <c r="G2" s="19" t="s">
        <v>25</v>
      </c>
      <c r="H2" s="1"/>
      <c r="I2" s="20" t="s">
        <v>66</v>
      </c>
      <c r="J2" s="1" t="s">
        <v>38</v>
      </c>
      <c r="K2" s="1"/>
      <c r="L2" s="1"/>
      <c r="M2" s="1"/>
      <c r="N2" s="1"/>
      <c r="O2" s="1"/>
      <c r="P2" s="1"/>
      <c r="Q2" s="1"/>
      <c r="R2" s="1"/>
    </row>
    <row r="3" spans="1:20" x14ac:dyDescent="0.25">
      <c r="A3" s="1"/>
      <c r="B3" s="1"/>
      <c r="C3" s="1"/>
      <c r="D3" s="1"/>
      <c r="G3" s="19"/>
      <c r="H3" s="1"/>
      <c r="I3" s="1"/>
      <c r="J3" s="1" t="s">
        <v>39</v>
      </c>
      <c r="K3" s="1"/>
      <c r="L3" s="1"/>
      <c r="M3" s="1"/>
      <c r="N3" s="1"/>
      <c r="O3" s="1"/>
      <c r="P3" s="1"/>
      <c r="Q3" s="1"/>
      <c r="R3" s="1"/>
    </row>
    <row r="4" spans="1:20" ht="15.75" x14ac:dyDescent="0.25">
      <c r="A4" s="1"/>
      <c r="B4" s="2" t="s">
        <v>1</v>
      </c>
      <c r="C4" s="3"/>
      <c r="D4" s="4"/>
      <c r="G4" s="20" t="s">
        <v>35</v>
      </c>
      <c r="H4" s="1"/>
      <c r="I4" s="20" t="s">
        <v>28</v>
      </c>
      <c r="J4" s="19"/>
      <c r="K4" s="19"/>
      <c r="L4" s="19"/>
      <c r="M4" s="19"/>
      <c r="N4" s="19"/>
      <c r="O4" s="19"/>
      <c r="P4" s="19"/>
      <c r="Q4" s="19"/>
      <c r="R4" s="19"/>
    </row>
    <row r="5" spans="1:20" ht="15.75" x14ac:dyDescent="0.25">
      <c r="A5" s="1"/>
      <c r="B5" s="5" t="s">
        <v>42</v>
      </c>
      <c r="C5" s="6"/>
      <c r="D5" s="4"/>
      <c r="G5" s="21" t="s">
        <v>29</v>
      </c>
      <c r="H5" s="22"/>
      <c r="I5" s="21">
        <v>1</v>
      </c>
      <c r="J5" s="21">
        <v>2</v>
      </c>
      <c r="K5" s="21">
        <v>3</v>
      </c>
      <c r="L5" s="21">
        <v>4</v>
      </c>
      <c r="M5" s="21">
        <v>5</v>
      </c>
      <c r="N5" s="21">
        <v>6</v>
      </c>
      <c r="O5" s="21">
        <v>7</v>
      </c>
      <c r="P5" s="21">
        <v>8</v>
      </c>
      <c r="Q5" s="21">
        <v>9</v>
      </c>
      <c r="R5" s="21">
        <v>10</v>
      </c>
    </row>
    <row r="6" spans="1:20" x14ac:dyDescent="0.25">
      <c r="A6" s="1"/>
      <c r="B6" s="7" t="s">
        <v>3</v>
      </c>
      <c r="C6" s="7"/>
      <c r="D6" s="4"/>
      <c r="G6" s="1"/>
      <c r="H6" s="19"/>
      <c r="I6" s="1"/>
      <c r="J6" s="1"/>
      <c r="K6" s="1"/>
      <c r="L6" s="1"/>
      <c r="M6" s="1"/>
      <c r="N6" s="1"/>
      <c r="O6" s="1"/>
      <c r="P6" s="1"/>
      <c r="Q6" s="1"/>
      <c r="R6" s="1"/>
    </row>
    <row r="7" spans="1:20" x14ac:dyDescent="0.25">
      <c r="A7" s="1"/>
      <c r="B7" s="8" t="s">
        <v>4</v>
      </c>
      <c r="C7" s="8"/>
      <c r="D7" s="1"/>
      <c r="H7" t="s">
        <v>31</v>
      </c>
      <c r="I7">
        <v>45</v>
      </c>
      <c r="J7" s="1">
        <v>53</v>
      </c>
      <c r="K7" s="1">
        <v>53</v>
      </c>
      <c r="L7" s="1">
        <v>29</v>
      </c>
      <c r="M7" s="1">
        <v>38</v>
      </c>
      <c r="N7" s="1">
        <v>40</v>
      </c>
      <c r="O7" s="1">
        <v>26</v>
      </c>
      <c r="P7" s="1">
        <v>48</v>
      </c>
      <c r="Q7" s="1">
        <v>41</v>
      </c>
      <c r="R7" s="1">
        <v>41</v>
      </c>
      <c r="S7" s="37">
        <f>SUM(I7:R7)</f>
        <v>414</v>
      </c>
    </row>
    <row r="8" spans="1:20" x14ac:dyDescent="0.25">
      <c r="A8" s="1"/>
      <c r="B8" s="9" t="s">
        <v>46</v>
      </c>
      <c r="C8" s="10"/>
      <c r="D8" s="11" t="s">
        <v>6</v>
      </c>
      <c r="I8">
        <v>61</v>
      </c>
      <c r="J8">
        <v>58</v>
      </c>
      <c r="K8">
        <v>64</v>
      </c>
      <c r="L8">
        <v>40</v>
      </c>
      <c r="M8">
        <v>43</v>
      </c>
      <c r="N8">
        <v>44</v>
      </c>
      <c r="O8">
        <v>28</v>
      </c>
      <c r="P8">
        <v>64</v>
      </c>
      <c r="Q8">
        <v>45</v>
      </c>
      <c r="R8">
        <v>49</v>
      </c>
      <c r="S8" s="37">
        <f t="shared" ref="S8:S21" si="0">SUM(I8:R8)</f>
        <v>496</v>
      </c>
      <c r="T8">
        <f>S7/S8</f>
        <v>0.83467741935483875</v>
      </c>
    </row>
    <row r="9" spans="1:20" x14ac:dyDescent="0.25">
      <c r="A9" s="1"/>
      <c r="B9" s="9" t="s">
        <v>43</v>
      </c>
      <c r="C9" s="10"/>
      <c r="D9" s="12" t="s">
        <v>8</v>
      </c>
      <c r="H9" t="s">
        <v>32</v>
      </c>
      <c r="I9">
        <v>5</v>
      </c>
      <c r="J9">
        <v>10</v>
      </c>
      <c r="K9">
        <v>7</v>
      </c>
      <c r="L9">
        <v>5</v>
      </c>
      <c r="M9">
        <v>4</v>
      </c>
      <c r="N9">
        <v>4</v>
      </c>
      <c r="O9">
        <v>4</v>
      </c>
      <c r="P9">
        <v>5</v>
      </c>
      <c r="Q9">
        <v>1</v>
      </c>
      <c r="R9">
        <v>7</v>
      </c>
      <c r="S9" s="37">
        <f t="shared" si="0"/>
        <v>52</v>
      </c>
    </row>
    <row r="10" spans="1:20" x14ac:dyDescent="0.25">
      <c r="A10" s="1"/>
      <c r="B10" s="13" t="s">
        <v>23</v>
      </c>
      <c r="C10" s="13" t="s">
        <v>10</v>
      </c>
      <c r="D10" s="14" t="s">
        <v>47</v>
      </c>
      <c r="I10">
        <v>57</v>
      </c>
      <c r="J10">
        <v>54</v>
      </c>
      <c r="K10">
        <v>63</v>
      </c>
      <c r="L10">
        <v>41</v>
      </c>
      <c r="M10">
        <v>43</v>
      </c>
      <c r="N10">
        <v>43</v>
      </c>
      <c r="O10">
        <v>27</v>
      </c>
      <c r="P10">
        <v>61</v>
      </c>
      <c r="Q10">
        <v>52</v>
      </c>
      <c r="R10">
        <v>49</v>
      </c>
      <c r="S10" s="37">
        <f t="shared" si="0"/>
        <v>490</v>
      </c>
      <c r="T10">
        <f>S9/S10</f>
        <v>0.10612244897959183</v>
      </c>
    </row>
    <row r="11" spans="1:20" x14ac:dyDescent="0.25">
      <c r="A11" s="1"/>
      <c r="B11" s="15" t="s">
        <v>19</v>
      </c>
      <c r="C11" s="15"/>
      <c r="D11" s="16" t="s">
        <v>48</v>
      </c>
      <c r="S11" s="37"/>
    </row>
    <row r="12" spans="1:20" x14ac:dyDescent="0.25">
      <c r="A12" s="1"/>
      <c r="B12" s="8"/>
      <c r="C12" s="8"/>
      <c r="D12" s="17"/>
      <c r="S12" s="37"/>
    </row>
    <row r="13" spans="1:20" x14ac:dyDescent="0.25">
      <c r="A13" s="1"/>
      <c r="B13" s="8"/>
      <c r="C13" s="8"/>
      <c r="D13" s="17"/>
      <c r="F13" t="s">
        <v>51</v>
      </c>
      <c r="S13" s="37"/>
    </row>
    <row r="14" spans="1:20" x14ac:dyDescent="0.25">
      <c r="A14" s="1"/>
      <c r="B14" s="8"/>
      <c r="C14" s="8"/>
      <c r="D14" s="17"/>
      <c r="E14" s="24" t="s">
        <v>31</v>
      </c>
      <c r="F14" s="26" t="e">
        <f ca="1">INDIRECT("F"&amp;MATCH("Z:",$A:$A,0)+4)+INDIRECT("G"&amp;MATCH("Z:",$A:$A,0)+7)+INDIRECT("E"&amp;MATCH("Z:",$A:$A,0)+10)</f>
        <v>#N/A</v>
      </c>
      <c r="S14" s="37"/>
    </row>
    <row r="15" spans="1:20" x14ac:dyDescent="0.25">
      <c r="A15" s="1"/>
      <c r="B15" s="8"/>
      <c r="C15" s="8"/>
      <c r="D15" s="17"/>
      <c r="E15" s="4"/>
      <c r="F15" s="26" t="e">
        <f ca="1">INDIRECT("G"&amp;MATCH("Z:",$A:$A,0)+6)+INDIRECT("D"&amp;MATCH("Z:",$A:$A,0)+10)+INDIRECT("F"&amp;MATCH("Z:",$A:$A,0)+3)</f>
        <v>#N/A</v>
      </c>
      <c r="H15" s="19"/>
      <c r="I15" s="23" t="s">
        <v>33</v>
      </c>
      <c r="J15" s="19"/>
      <c r="K15" s="19"/>
      <c r="L15" s="19"/>
      <c r="M15" s="19"/>
      <c r="N15" s="19"/>
      <c r="O15" s="19"/>
      <c r="P15" s="19"/>
      <c r="Q15" s="19"/>
      <c r="R15" s="19"/>
      <c r="S15" s="37"/>
    </row>
    <row r="16" spans="1:20" x14ac:dyDescent="0.25">
      <c r="A16" s="1"/>
      <c r="B16" s="8"/>
      <c r="C16" s="8"/>
      <c r="D16" s="17"/>
      <c r="E16" s="24" t="s">
        <v>32</v>
      </c>
      <c r="F16" s="26" t="e">
        <f ca="1">INDIRECT("E"&amp;MATCH("Z:",$A:$A,0)+4)+INDIRECT("D"&amp;MATCH("Z:",$A:$A,0)+7)+INDIRECT("E"&amp;MATCH("Z:",$A:$A,0)+7)</f>
        <v>#N/A</v>
      </c>
      <c r="G16" s="20" t="s">
        <v>35</v>
      </c>
      <c r="H16" s="21"/>
      <c r="I16" s="21">
        <v>1</v>
      </c>
      <c r="J16" s="21">
        <v>2</v>
      </c>
      <c r="K16" s="21">
        <v>3</v>
      </c>
      <c r="L16" s="21">
        <v>4</v>
      </c>
      <c r="M16" s="21">
        <v>5</v>
      </c>
      <c r="N16" s="21">
        <v>6</v>
      </c>
      <c r="O16" s="21">
        <v>7</v>
      </c>
      <c r="P16" s="21">
        <v>8</v>
      </c>
      <c r="Q16" s="21">
        <v>9</v>
      </c>
      <c r="R16" s="21">
        <v>10</v>
      </c>
      <c r="S16" s="37"/>
    </row>
    <row r="17" spans="1:20" x14ac:dyDescent="0.25">
      <c r="A17" s="1"/>
      <c r="B17" s="7" t="s">
        <v>14</v>
      </c>
      <c r="C17" s="7"/>
      <c r="D17" s="17"/>
      <c r="E17" s="4"/>
      <c r="F17" s="26" t="e">
        <f ca="1">INDIRECT("E"&amp;MATCH("Z:",$A:$A,0)+3)+INDIRECT("D"&amp;MATCH("Z:",$A:$A,0)+6)+INDIRECT("E"&amp;MATCH("Z:",$A:$A,0)+6)</f>
        <v>#N/A</v>
      </c>
      <c r="S17" s="37"/>
    </row>
    <row r="18" spans="1:20" x14ac:dyDescent="0.25">
      <c r="A18" s="1"/>
      <c r="B18" s="8" t="s">
        <v>15</v>
      </c>
      <c r="C18" s="8"/>
      <c r="D18" s="17"/>
      <c r="H18" t="s">
        <v>31</v>
      </c>
      <c r="I18">
        <v>37</v>
      </c>
      <c r="J18">
        <v>43</v>
      </c>
      <c r="K18">
        <v>41</v>
      </c>
      <c r="L18">
        <v>47</v>
      </c>
      <c r="M18">
        <v>34</v>
      </c>
      <c r="N18">
        <v>40</v>
      </c>
      <c r="O18">
        <v>52</v>
      </c>
      <c r="P18">
        <v>31</v>
      </c>
      <c r="Q18">
        <v>37</v>
      </c>
      <c r="R18">
        <v>48</v>
      </c>
      <c r="S18" s="37">
        <f t="shared" si="0"/>
        <v>410</v>
      </c>
    </row>
    <row r="19" spans="1:20" x14ac:dyDescent="0.25">
      <c r="A19" s="1"/>
      <c r="B19" s="9" t="s">
        <v>45</v>
      </c>
      <c r="C19" s="10"/>
      <c r="D19" s="1"/>
      <c r="I19">
        <v>45</v>
      </c>
      <c r="J19">
        <v>53</v>
      </c>
      <c r="K19">
        <v>50</v>
      </c>
      <c r="L19">
        <v>63</v>
      </c>
      <c r="M19">
        <v>43</v>
      </c>
      <c r="N19">
        <v>46</v>
      </c>
      <c r="O19">
        <v>59</v>
      </c>
      <c r="P19">
        <v>45</v>
      </c>
      <c r="Q19">
        <v>41</v>
      </c>
      <c r="R19">
        <v>54</v>
      </c>
      <c r="S19" s="37">
        <f t="shared" si="0"/>
        <v>499</v>
      </c>
      <c r="T19">
        <f>S18/S19</f>
        <v>0.82164328657314634</v>
      </c>
    </row>
    <row r="20" spans="1:20" x14ac:dyDescent="0.25">
      <c r="A20" s="1"/>
      <c r="B20" s="9" t="s">
        <v>44</v>
      </c>
      <c r="C20" s="10"/>
      <c r="D20" s="1"/>
      <c r="H20" t="s">
        <v>32</v>
      </c>
      <c r="I20">
        <v>15</v>
      </c>
      <c r="J20">
        <v>18</v>
      </c>
      <c r="K20">
        <v>20</v>
      </c>
      <c r="L20">
        <v>19</v>
      </c>
      <c r="M20">
        <v>12</v>
      </c>
      <c r="N20">
        <v>21</v>
      </c>
      <c r="O20">
        <v>26</v>
      </c>
      <c r="P20">
        <v>11</v>
      </c>
      <c r="Q20">
        <v>14</v>
      </c>
      <c r="R20">
        <v>19</v>
      </c>
      <c r="S20" s="37">
        <f t="shared" si="0"/>
        <v>175</v>
      </c>
    </row>
    <row r="21" spans="1:20" x14ac:dyDescent="0.25">
      <c r="A21" s="1"/>
      <c r="B21" s="1"/>
      <c r="C21" s="1"/>
      <c r="D21" s="1"/>
      <c r="I21">
        <v>51</v>
      </c>
      <c r="J21">
        <v>57</v>
      </c>
      <c r="K21">
        <v>47</v>
      </c>
      <c r="L21">
        <v>62</v>
      </c>
      <c r="M21">
        <v>34</v>
      </c>
      <c r="N21">
        <v>40</v>
      </c>
      <c r="O21">
        <v>68</v>
      </c>
      <c r="P21">
        <v>41</v>
      </c>
      <c r="Q21">
        <v>44</v>
      </c>
      <c r="R21">
        <v>53</v>
      </c>
      <c r="S21" s="37">
        <f t="shared" si="0"/>
        <v>497</v>
      </c>
      <c r="T21">
        <f>S20/S21</f>
        <v>0.352112676056338</v>
      </c>
    </row>
    <row r="22" spans="1:20" x14ac:dyDescent="0.25">
      <c r="A22" s="1"/>
      <c r="B22" s="1"/>
      <c r="C22" s="1"/>
      <c r="D22" s="11" t="s">
        <v>6</v>
      </c>
    </row>
    <row r="23" spans="1:20" x14ac:dyDescent="0.25">
      <c r="A23" s="1"/>
      <c r="B23" s="18"/>
      <c r="C23" s="18"/>
      <c r="D23" s="12" t="s">
        <v>8</v>
      </c>
    </row>
    <row r="24" spans="1:20" x14ac:dyDescent="0.25">
      <c r="A24" s="1"/>
      <c r="B24" s="13" t="s">
        <v>23</v>
      </c>
      <c r="C24" s="13" t="s">
        <v>18</v>
      </c>
      <c r="D24" s="16" t="s">
        <v>49</v>
      </c>
    </row>
    <row r="25" spans="1:20" x14ac:dyDescent="0.25">
      <c r="A25" s="1"/>
      <c r="B25" s="15" t="s">
        <v>12</v>
      </c>
      <c r="C25" s="15"/>
      <c r="D25" s="16" t="s">
        <v>50</v>
      </c>
    </row>
    <row r="26" spans="1:20" x14ac:dyDescent="0.25">
      <c r="A26" s="1"/>
      <c r="B26" s="8"/>
      <c r="C26" s="8"/>
      <c r="D26" s="4"/>
      <c r="G26" s="20" t="s">
        <v>36</v>
      </c>
      <c r="H26" s="19"/>
      <c r="I26" s="20" t="s">
        <v>28</v>
      </c>
      <c r="J26" s="19"/>
      <c r="K26" s="19"/>
      <c r="L26" s="19"/>
      <c r="M26" s="19"/>
      <c r="N26" s="19"/>
      <c r="O26" s="19"/>
      <c r="P26" s="19"/>
      <c r="Q26" s="19"/>
      <c r="R26" s="19"/>
    </row>
    <row r="27" spans="1:20" x14ac:dyDescent="0.25">
      <c r="A27" s="1"/>
      <c r="B27" s="8"/>
      <c r="C27" s="8"/>
      <c r="D27" s="4"/>
      <c r="G27" s="27"/>
      <c r="H27" s="21"/>
      <c r="I27" s="21">
        <v>1</v>
      </c>
      <c r="J27" s="21">
        <v>2</v>
      </c>
      <c r="K27" s="21">
        <v>3</v>
      </c>
      <c r="L27" s="21">
        <v>4</v>
      </c>
      <c r="M27" s="21">
        <v>5</v>
      </c>
      <c r="N27" s="21">
        <v>6</v>
      </c>
      <c r="O27" s="21">
        <v>7</v>
      </c>
      <c r="P27" s="21">
        <v>8</v>
      </c>
      <c r="Q27" s="21">
        <v>9</v>
      </c>
      <c r="R27" s="21">
        <v>10</v>
      </c>
    </row>
    <row r="28" spans="1:20" x14ac:dyDescent="0.25">
      <c r="A28" s="1"/>
      <c r="B28" s="8"/>
      <c r="C28" s="8"/>
      <c r="D28" s="4"/>
    </row>
    <row r="29" spans="1:20" x14ac:dyDescent="0.25">
      <c r="A29" s="1"/>
      <c r="B29" s="7" t="s">
        <v>21</v>
      </c>
      <c r="C29" s="7"/>
      <c r="D29" s="4"/>
      <c r="H29" t="s">
        <v>31</v>
      </c>
      <c r="I29">
        <v>34</v>
      </c>
      <c r="J29">
        <v>30</v>
      </c>
      <c r="K29">
        <v>28</v>
      </c>
      <c r="L29">
        <v>23</v>
      </c>
      <c r="M29">
        <v>25</v>
      </c>
      <c r="N29">
        <v>36</v>
      </c>
      <c r="O29">
        <v>31</v>
      </c>
      <c r="P29">
        <v>29</v>
      </c>
      <c r="Q29">
        <v>40</v>
      </c>
      <c r="R29">
        <v>31</v>
      </c>
      <c r="S29" s="37">
        <f>SUM(I29:R29)</f>
        <v>307</v>
      </c>
    </row>
    <row r="30" spans="1:20" x14ac:dyDescent="0.25">
      <c r="A30" s="1"/>
      <c r="B30" s="8"/>
      <c r="C30" s="8"/>
      <c r="D30" s="4"/>
      <c r="I30">
        <v>37</v>
      </c>
      <c r="J30">
        <v>45</v>
      </c>
      <c r="K30">
        <v>37</v>
      </c>
      <c r="L30">
        <v>35</v>
      </c>
      <c r="M30">
        <v>31</v>
      </c>
      <c r="N30">
        <v>42</v>
      </c>
      <c r="O30">
        <v>33</v>
      </c>
      <c r="P30">
        <v>33</v>
      </c>
      <c r="Q30">
        <v>46</v>
      </c>
      <c r="R30">
        <v>38</v>
      </c>
      <c r="S30" s="37">
        <f t="shared" ref="S30:S32" si="1">SUM(I30:R30)</f>
        <v>377</v>
      </c>
      <c r="T30">
        <f>S29/S30</f>
        <v>0.81432360742705567</v>
      </c>
    </row>
    <row r="31" spans="1:20" x14ac:dyDescent="0.25">
      <c r="A31" s="1"/>
      <c r="B31" s="8"/>
      <c r="C31" s="8"/>
      <c r="D31" s="4"/>
      <c r="H31" t="s">
        <v>32</v>
      </c>
      <c r="I31">
        <v>4</v>
      </c>
      <c r="J31">
        <v>3</v>
      </c>
      <c r="K31">
        <v>6</v>
      </c>
      <c r="L31">
        <v>5</v>
      </c>
      <c r="M31">
        <v>7</v>
      </c>
      <c r="N31">
        <v>2</v>
      </c>
      <c r="O31">
        <v>1</v>
      </c>
      <c r="P31">
        <v>9</v>
      </c>
      <c r="Q31">
        <v>4</v>
      </c>
      <c r="R31">
        <v>4</v>
      </c>
      <c r="S31" s="37">
        <f t="shared" si="1"/>
        <v>45</v>
      </c>
    </row>
    <row r="32" spans="1:20" x14ac:dyDescent="0.25">
      <c r="A32" s="1"/>
      <c r="B32" s="7" t="s">
        <v>22</v>
      </c>
      <c r="C32" s="7"/>
      <c r="D32" s="4"/>
      <c r="I32">
        <v>34</v>
      </c>
      <c r="J32">
        <v>41</v>
      </c>
      <c r="K32">
        <v>38</v>
      </c>
      <c r="L32">
        <v>34</v>
      </c>
      <c r="M32">
        <v>34</v>
      </c>
      <c r="N32">
        <v>41</v>
      </c>
      <c r="O32">
        <v>28</v>
      </c>
      <c r="P32">
        <v>39</v>
      </c>
      <c r="Q32">
        <v>40</v>
      </c>
      <c r="R32">
        <v>36</v>
      </c>
      <c r="S32" s="37">
        <f t="shared" si="1"/>
        <v>365</v>
      </c>
      <c r="T32">
        <f>S31/S32</f>
        <v>0.12328767123287671</v>
      </c>
    </row>
    <row r="33" spans="1:20" x14ac:dyDescent="0.25">
      <c r="A33" s="1"/>
      <c r="B33" s="13"/>
      <c r="C33" s="13"/>
      <c r="D33" s="14"/>
      <c r="R33" s="35">
        <v>30.6666666666667</v>
      </c>
      <c r="S33" s="37"/>
    </row>
    <row r="34" spans="1:20" x14ac:dyDescent="0.25">
      <c r="A34" s="1"/>
      <c r="B34" s="15"/>
      <c r="C34" s="15"/>
      <c r="D34" s="16"/>
      <c r="R34" s="35">
        <v>37.666666666666664</v>
      </c>
      <c r="S34" s="37"/>
    </row>
    <row r="35" spans="1:20" x14ac:dyDescent="0.25">
      <c r="A35" s="1"/>
      <c r="B35" s="1"/>
      <c r="C35" s="1"/>
      <c r="D35" s="1"/>
      <c r="R35" s="35">
        <v>4.5555555555555554</v>
      </c>
      <c r="S35" s="37"/>
    </row>
    <row r="36" spans="1:20" x14ac:dyDescent="0.25">
      <c r="A36" s="1"/>
      <c r="B36" s="1"/>
      <c r="C36" s="1"/>
      <c r="D36" s="29"/>
      <c r="R36" s="35">
        <v>36.555555555555557</v>
      </c>
      <c r="S36" s="37"/>
    </row>
    <row r="37" spans="1:20" x14ac:dyDescent="0.25">
      <c r="A37" s="1"/>
      <c r="B37" s="33" t="s">
        <v>60</v>
      </c>
      <c r="D37" s="32"/>
      <c r="G37" s="20" t="s">
        <v>36</v>
      </c>
      <c r="H37" s="19"/>
      <c r="I37" s="20" t="s">
        <v>33</v>
      </c>
      <c r="J37" s="19"/>
      <c r="K37" s="19"/>
      <c r="L37" s="19"/>
      <c r="M37" s="19"/>
      <c r="N37" s="19"/>
      <c r="O37" s="19"/>
      <c r="P37" s="19"/>
      <c r="Q37" s="19"/>
      <c r="R37" s="19"/>
      <c r="S37" s="37"/>
    </row>
    <row r="38" spans="1:20" x14ac:dyDescent="0.25">
      <c r="A38" s="1"/>
      <c r="B38" s="17"/>
      <c r="C38" s="4"/>
      <c r="D38" s="32"/>
      <c r="G38" s="21" t="s">
        <v>29</v>
      </c>
      <c r="H38" s="21"/>
      <c r="I38" s="21">
        <v>1</v>
      </c>
      <c r="J38" s="21">
        <v>2</v>
      </c>
      <c r="K38" s="21">
        <v>3</v>
      </c>
      <c r="L38" s="21">
        <v>4</v>
      </c>
      <c r="M38" s="21">
        <v>5</v>
      </c>
      <c r="N38" s="21">
        <v>6</v>
      </c>
      <c r="O38" s="21">
        <v>7</v>
      </c>
      <c r="P38" s="21">
        <v>8</v>
      </c>
      <c r="Q38" s="21">
        <v>9</v>
      </c>
      <c r="R38" s="21">
        <v>10</v>
      </c>
      <c r="S38" s="37"/>
    </row>
    <row r="39" spans="1:20" x14ac:dyDescent="0.25">
      <c r="A39" s="1"/>
      <c r="B39" s="17"/>
      <c r="C39" s="24"/>
      <c r="D39" s="32"/>
      <c r="S39" s="37"/>
    </row>
    <row r="40" spans="1:20" x14ac:dyDescent="0.25">
      <c r="A40" s="1"/>
      <c r="B40" s="24" t="s">
        <v>31</v>
      </c>
      <c r="C40" s="26" t="e">
        <f ca="1">INDIRECT("F"&amp;MATCH("Z:",$A:$A,0)+4)+INDIRECT("G"&amp;MATCH("Z:",$A:$A,0)+7)+INDIRECT("E"&amp;MATCH("Z:",$A:$A,0)+10)</f>
        <v>#N/A</v>
      </c>
      <c r="D40" s="32"/>
      <c r="H40" t="s">
        <v>31</v>
      </c>
      <c r="I40">
        <v>31</v>
      </c>
      <c r="J40">
        <v>32</v>
      </c>
      <c r="K40">
        <v>30</v>
      </c>
      <c r="L40">
        <v>28</v>
      </c>
      <c r="M40">
        <v>39</v>
      </c>
      <c r="N40">
        <v>40</v>
      </c>
      <c r="O40">
        <v>26</v>
      </c>
      <c r="P40">
        <v>15</v>
      </c>
      <c r="Q40">
        <v>27</v>
      </c>
      <c r="R40">
        <v>33</v>
      </c>
      <c r="S40" s="37">
        <f>SUM(I40:R40)</f>
        <v>301</v>
      </c>
    </row>
    <row r="41" spans="1:20" x14ac:dyDescent="0.25">
      <c r="B41" s="4"/>
      <c r="C41" s="26" t="e">
        <f ca="1">INDIRECT("G"&amp;MATCH("Z:",$A:$A,0)+6)+INDIRECT("D"&amp;MATCH("Z:",$A:$A,0)+10)+INDIRECT("F"&amp;MATCH("Z:",$A:$A,0)+3)</f>
        <v>#N/A</v>
      </c>
      <c r="D41" s="4"/>
      <c r="I41">
        <v>36</v>
      </c>
      <c r="J41">
        <v>38</v>
      </c>
      <c r="K41">
        <v>37</v>
      </c>
      <c r="L41">
        <v>36</v>
      </c>
      <c r="M41">
        <v>45</v>
      </c>
      <c r="N41">
        <v>46</v>
      </c>
      <c r="O41">
        <v>30</v>
      </c>
      <c r="P41">
        <v>23</v>
      </c>
      <c r="Q41">
        <v>31</v>
      </c>
      <c r="R41">
        <v>38</v>
      </c>
      <c r="S41" s="37">
        <f>SUM(I41:R41)</f>
        <v>360</v>
      </c>
      <c r="T41">
        <f>S40/S41</f>
        <v>0.83611111111111114</v>
      </c>
    </row>
    <row r="42" spans="1:20" x14ac:dyDescent="0.25">
      <c r="B42" s="24" t="s">
        <v>32</v>
      </c>
      <c r="C42" s="26" t="e">
        <f ca="1">INDIRECT("E"&amp;MATCH("Z:",$A:$A,0)+4)+INDIRECT("D"&amp;MATCH("Z:",$A:$A,0)+7)+INDIRECT("E"&amp;MATCH("Z:",$A:$A,0)+7)</f>
        <v>#N/A</v>
      </c>
      <c r="D42" s="4"/>
      <c r="H42" t="s">
        <v>32</v>
      </c>
      <c r="I42">
        <v>11</v>
      </c>
      <c r="J42">
        <v>6</v>
      </c>
      <c r="K42">
        <v>3</v>
      </c>
      <c r="L42">
        <v>5</v>
      </c>
      <c r="M42">
        <v>10</v>
      </c>
      <c r="N42">
        <v>4</v>
      </c>
      <c r="O42">
        <v>3</v>
      </c>
      <c r="P42">
        <v>3</v>
      </c>
      <c r="Q42">
        <v>6</v>
      </c>
      <c r="R42">
        <v>6</v>
      </c>
      <c r="S42" s="37">
        <f>SUM(I42:R42)</f>
        <v>57</v>
      </c>
    </row>
    <row r="43" spans="1:20" x14ac:dyDescent="0.25">
      <c r="B43" s="4"/>
      <c r="C43" s="26" t="e">
        <f ca="1">INDIRECT("E"&amp;MATCH("Z:",$A:$A,0)+3)+INDIRECT("D"&amp;MATCH("Z:",$A:$A,0)+6)+INDIRECT("E"&amp;MATCH("Z:",$A:$A,0)+6)</f>
        <v>#N/A</v>
      </c>
      <c r="D43" s="32"/>
      <c r="I43">
        <v>36</v>
      </c>
      <c r="J43">
        <v>37</v>
      </c>
      <c r="K43">
        <v>36</v>
      </c>
      <c r="L43">
        <v>37</v>
      </c>
      <c r="M43">
        <v>39</v>
      </c>
      <c r="N43">
        <v>49</v>
      </c>
      <c r="O43">
        <v>28</v>
      </c>
      <c r="P43">
        <v>26</v>
      </c>
      <c r="Q43">
        <v>28</v>
      </c>
      <c r="R43">
        <v>42</v>
      </c>
      <c r="S43" s="37">
        <f>SUM(I43:R43)</f>
        <v>358</v>
      </c>
      <c r="T43">
        <f>S42/S43</f>
        <v>0.15921787709497207</v>
      </c>
    </row>
    <row r="44" spans="1:20" x14ac:dyDescent="0.25">
      <c r="B44" s="17"/>
      <c r="C44" s="24"/>
      <c r="D44" s="32"/>
      <c r="F44" t="s">
        <v>51</v>
      </c>
    </row>
    <row r="45" spans="1:20" x14ac:dyDescent="0.25">
      <c r="B45" s="17"/>
      <c r="C45" s="24"/>
      <c r="D45" s="32"/>
      <c r="E45" s="24" t="s">
        <v>31</v>
      </c>
      <c r="F45" s="26" t="e">
        <f ca="1">INDIRECT("F"&amp;MATCH("Z:",$A:$A,0)+4)+INDIRECT("G"&amp;MATCH("Z:",$A:$A,0)+7)+INDIRECT("E"&amp;MATCH("Z:",$A:$A,0)+10)</f>
        <v>#N/A</v>
      </c>
    </row>
    <row r="46" spans="1:20" x14ac:dyDescent="0.25">
      <c r="B46" s="24"/>
      <c r="C46" s="26"/>
      <c r="D46" s="32"/>
      <c r="E46" s="4"/>
      <c r="F46" s="26" t="e">
        <f ca="1">INDIRECT("G"&amp;MATCH("Z:",$A:$A,0)+6)+INDIRECT("D"&amp;MATCH("Z:",$A:$A,0)+10)+INDIRECT("F"&amp;MATCH("Z:",$A:$A,0)+3)</f>
        <v>#N/A</v>
      </c>
    </row>
    <row r="47" spans="1:20" x14ac:dyDescent="0.25">
      <c r="B47" s="4"/>
      <c r="C47" s="26"/>
      <c r="D47" s="30"/>
      <c r="E47" s="24" t="s">
        <v>32</v>
      </c>
      <c r="F47" s="26" t="e">
        <f ca="1">INDIRECT("E"&amp;MATCH("Z:",$A:$A,0)+4)+INDIRECT("D"&amp;MATCH("Z:",$A:$A,0)+7)+INDIRECT("E"&amp;MATCH("Z:",$A:$A,0)+7)</f>
        <v>#N/A</v>
      </c>
    </row>
    <row r="48" spans="1:20" x14ac:dyDescent="0.25">
      <c r="B48" s="24"/>
      <c r="C48" s="26"/>
      <c r="E48" s="4"/>
      <c r="F48" s="26" t="e">
        <f ca="1">INDIRECT("E"&amp;MATCH("Z:",$A:$A,0)+3)+INDIRECT("D"&amp;MATCH("Z:",$A:$A,0)+6)+INDIRECT("E"&amp;MATCH("Z:",$A:$A,0)+6)</f>
        <v>#N/A</v>
      </c>
      <c r="G48" s="20" t="s">
        <v>61</v>
      </c>
      <c r="I48" s="20" t="s">
        <v>28</v>
      </c>
    </row>
    <row r="49" spans="2:20" x14ac:dyDescent="0.25">
      <c r="B49" s="4"/>
      <c r="C49" s="26"/>
      <c r="G49" s="21" t="s">
        <v>29</v>
      </c>
      <c r="H49" s="21"/>
      <c r="I49" s="21">
        <v>1</v>
      </c>
      <c r="J49" s="21">
        <v>2</v>
      </c>
      <c r="K49" s="21">
        <v>3</v>
      </c>
      <c r="L49" s="21">
        <v>4</v>
      </c>
      <c r="M49" s="21">
        <v>5</v>
      </c>
      <c r="N49" s="21">
        <v>6</v>
      </c>
      <c r="O49" s="21">
        <v>7</v>
      </c>
      <c r="P49" s="21">
        <v>8</v>
      </c>
      <c r="Q49" s="21">
        <v>9</v>
      </c>
      <c r="R49" s="21">
        <v>10</v>
      </c>
    </row>
    <row r="50" spans="2:20" x14ac:dyDescent="0.25">
      <c r="B50" s="17"/>
      <c r="C50" s="24"/>
    </row>
    <row r="51" spans="2:20" x14ac:dyDescent="0.25">
      <c r="H51" t="s">
        <v>31</v>
      </c>
      <c r="I51">
        <v>31</v>
      </c>
      <c r="J51">
        <v>24</v>
      </c>
      <c r="K51">
        <v>32</v>
      </c>
      <c r="L51">
        <v>26</v>
      </c>
      <c r="M51">
        <v>20</v>
      </c>
      <c r="N51">
        <v>36</v>
      </c>
      <c r="O51">
        <v>34</v>
      </c>
      <c r="P51">
        <v>28</v>
      </c>
      <c r="Q51">
        <v>36</v>
      </c>
      <c r="R51">
        <v>16</v>
      </c>
      <c r="S51" s="37">
        <f>SUM(I51:R51)</f>
        <v>283</v>
      </c>
    </row>
    <row r="52" spans="2:20" x14ac:dyDescent="0.25">
      <c r="I52">
        <v>38</v>
      </c>
      <c r="J52">
        <v>35</v>
      </c>
      <c r="K52">
        <v>40</v>
      </c>
      <c r="L52">
        <v>32</v>
      </c>
      <c r="M52">
        <v>32</v>
      </c>
      <c r="N52">
        <v>43</v>
      </c>
      <c r="O52">
        <v>49</v>
      </c>
      <c r="P52">
        <v>33</v>
      </c>
      <c r="Q52">
        <v>45</v>
      </c>
      <c r="R52">
        <v>24</v>
      </c>
      <c r="S52" s="37">
        <f t="shared" ref="S52:S76" si="2">SUM(I52:R52)</f>
        <v>371</v>
      </c>
      <c r="T52">
        <f>S51/S52</f>
        <v>0.76280323450134768</v>
      </c>
    </row>
    <row r="53" spans="2:20" x14ac:dyDescent="0.25">
      <c r="H53" t="s">
        <v>32</v>
      </c>
      <c r="I53">
        <v>5</v>
      </c>
      <c r="J53">
        <v>11</v>
      </c>
      <c r="K53">
        <v>11</v>
      </c>
      <c r="L53">
        <v>7</v>
      </c>
      <c r="M53">
        <v>21</v>
      </c>
      <c r="N53">
        <v>12</v>
      </c>
      <c r="O53">
        <v>8</v>
      </c>
      <c r="P53">
        <v>4</v>
      </c>
      <c r="Q53">
        <v>8</v>
      </c>
      <c r="R53">
        <v>6</v>
      </c>
      <c r="S53" s="37">
        <f t="shared" si="2"/>
        <v>93</v>
      </c>
    </row>
    <row r="54" spans="2:20" x14ac:dyDescent="0.25">
      <c r="I54">
        <v>37</v>
      </c>
      <c r="J54">
        <v>41</v>
      </c>
      <c r="K54">
        <v>29</v>
      </c>
      <c r="L54">
        <v>34</v>
      </c>
      <c r="M54">
        <v>33</v>
      </c>
      <c r="N54">
        <v>46</v>
      </c>
      <c r="O54">
        <v>39</v>
      </c>
      <c r="P54">
        <v>29</v>
      </c>
      <c r="Q54">
        <v>43</v>
      </c>
      <c r="R54">
        <v>23</v>
      </c>
      <c r="S54" s="37">
        <f t="shared" si="2"/>
        <v>354</v>
      </c>
      <c r="T54">
        <f>S53/S54</f>
        <v>0.26271186440677968</v>
      </c>
    </row>
    <row r="55" spans="2:20" x14ac:dyDescent="0.25">
      <c r="S55" s="37"/>
    </row>
    <row r="56" spans="2:20" x14ac:dyDescent="0.25">
      <c r="S56" s="37"/>
    </row>
    <row r="57" spans="2:20" x14ac:dyDescent="0.25">
      <c r="S57" s="37"/>
    </row>
    <row r="58" spans="2:20" x14ac:dyDescent="0.25">
      <c r="S58" s="37"/>
    </row>
    <row r="59" spans="2:20" x14ac:dyDescent="0.25">
      <c r="G59" s="20" t="s">
        <v>61</v>
      </c>
      <c r="I59" s="20" t="s">
        <v>33</v>
      </c>
      <c r="S59" s="37"/>
    </row>
    <row r="60" spans="2:20" x14ac:dyDescent="0.25">
      <c r="G60" s="21" t="s">
        <v>29</v>
      </c>
      <c r="H60" s="21"/>
      <c r="I60" s="21">
        <v>1</v>
      </c>
      <c r="J60" s="21">
        <v>2</v>
      </c>
      <c r="K60" s="21">
        <v>3</v>
      </c>
      <c r="L60" s="21">
        <v>4</v>
      </c>
      <c r="M60" s="21">
        <v>5</v>
      </c>
      <c r="N60" s="21">
        <v>6</v>
      </c>
      <c r="O60" s="21">
        <v>7</v>
      </c>
      <c r="P60" s="21">
        <v>8</v>
      </c>
      <c r="Q60" s="21">
        <v>9</v>
      </c>
      <c r="R60" s="21">
        <v>10</v>
      </c>
      <c r="S60" s="37"/>
    </row>
    <row r="61" spans="2:20" x14ac:dyDescent="0.25">
      <c r="S61" s="37"/>
    </row>
    <row r="62" spans="2:20" x14ac:dyDescent="0.25">
      <c r="H62" t="s">
        <v>31</v>
      </c>
      <c r="I62">
        <v>23</v>
      </c>
      <c r="J62">
        <v>30</v>
      </c>
      <c r="K62">
        <v>32</v>
      </c>
      <c r="L62">
        <v>26</v>
      </c>
      <c r="M62">
        <v>32</v>
      </c>
      <c r="N62">
        <v>32</v>
      </c>
      <c r="O62">
        <v>34</v>
      </c>
      <c r="P62">
        <v>35</v>
      </c>
      <c r="Q62">
        <v>42</v>
      </c>
      <c r="R62">
        <v>30</v>
      </c>
      <c r="S62" s="37">
        <f t="shared" si="2"/>
        <v>316</v>
      </c>
    </row>
    <row r="63" spans="2:20" x14ac:dyDescent="0.25">
      <c r="I63">
        <v>28</v>
      </c>
      <c r="J63">
        <v>38</v>
      </c>
      <c r="K63">
        <v>35</v>
      </c>
      <c r="L63">
        <v>32</v>
      </c>
      <c r="M63">
        <v>38</v>
      </c>
      <c r="N63">
        <v>34</v>
      </c>
      <c r="O63">
        <v>34</v>
      </c>
      <c r="P63">
        <v>36</v>
      </c>
      <c r="Q63">
        <v>47</v>
      </c>
      <c r="R63">
        <v>32</v>
      </c>
      <c r="S63" s="37">
        <f t="shared" si="2"/>
        <v>354</v>
      </c>
      <c r="T63">
        <f>S62/S63</f>
        <v>0.89265536723163841</v>
      </c>
    </row>
    <row r="64" spans="2:20" x14ac:dyDescent="0.25">
      <c r="H64" t="s">
        <v>32</v>
      </c>
      <c r="I64">
        <v>8</v>
      </c>
      <c r="J64">
        <v>18</v>
      </c>
      <c r="K64">
        <v>14</v>
      </c>
      <c r="L64">
        <v>11</v>
      </c>
      <c r="M64">
        <v>12</v>
      </c>
      <c r="N64">
        <v>16</v>
      </c>
      <c r="O64">
        <v>15</v>
      </c>
      <c r="P64">
        <v>19</v>
      </c>
      <c r="Q64">
        <v>13</v>
      </c>
      <c r="R64">
        <v>17</v>
      </c>
      <c r="S64" s="37">
        <f t="shared" si="2"/>
        <v>143</v>
      </c>
    </row>
    <row r="65" spans="5:20" x14ac:dyDescent="0.25">
      <c r="I65">
        <v>30</v>
      </c>
      <c r="J65">
        <v>34</v>
      </c>
      <c r="K65">
        <v>34</v>
      </c>
      <c r="L65">
        <v>33</v>
      </c>
      <c r="M65">
        <v>38</v>
      </c>
      <c r="N65">
        <v>34</v>
      </c>
      <c r="O65">
        <v>32</v>
      </c>
      <c r="P65">
        <v>42</v>
      </c>
      <c r="Q65">
        <v>43</v>
      </c>
      <c r="R65">
        <v>38</v>
      </c>
      <c r="S65" s="37">
        <f t="shared" si="2"/>
        <v>358</v>
      </c>
      <c r="T65">
        <f>S64/S65</f>
        <v>0.3994413407821229</v>
      </c>
    </row>
    <row r="70" spans="5:20" x14ac:dyDescent="0.25">
      <c r="G70" s="20" t="s">
        <v>67</v>
      </c>
      <c r="I70" s="20" t="s">
        <v>28</v>
      </c>
    </row>
    <row r="71" spans="5:20" x14ac:dyDescent="0.25">
      <c r="F71" t="s">
        <v>51</v>
      </c>
      <c r="G71" s="21" t="s">
        <v>29</v>
      </c>
      <c r="H71" s="21"/>
      <c r="I71" s="21">
        <v>1</v>
      </c>
      <c r="J71" s="21">
        <v>2</v>
      </c>
      <c r="K71" s="21">
        <v>3</v>
      </c>
      <c r="L71" s="21">
        <v>4</v>
      </c>
      <c r="M71" s="21">
        <v>5</v>
      </c>
      <c r="N71" s="21">
        <v>6</v>
      </c>
      <c r="O71" s="21">
        <v>7</v>
      </c>
      <c r="P71" s="21">
        <v>8</v>
      </c>
      <c r="Q71" s="21">
        <v>9</v>
      </c>
      <c r="R71" s="21">
        <v>10</v>
      </c>
    </row>
    <row r="72" spans="5:20" x14ac:dyDescent="0.25">
      <c r="E72" s="24" t="s">
        <v>31</v>
      </c>
      <c r="F72" s="26" t="e">
        <f ca="1">INDIRECT("F"&amp;MATCH("Z:",$A:$A,0)+4)+INDIRECT("G"&amp;MATCH("Z:",$A:$A,0)+7)+INDIRECT("E"&amp;MATCH("Z:",$A:$A,0)+10)</f>
        <v>#N/A</v>
      </c>
    </row>
    <row r="73" spans="5:20" x14ac:dyDescent="0.25">
      <c r="E73" s="4"/>
      <c r="F73" s="26" t="e">
        <f ca="1">INDIRECT("G"&amp;MATCH("Z:",$A:$A,0)+6)+INDIRECT("D"&amp;MATCH("Z:",$A:$A,0)+10)+INDIRECT("F"&amp;MATCH("Z:",$A:$A,0)+3)</f>
        <v>#N/A</v>
      </c>
      <c r="H73" t="s">
        <v>31</v>
      </c>
      <c r="I73">
        <v>40</v>
      </c>
      <c r="J73">
        <v>37</v>
      </c>
      <c r="K73">
        <v>36</v>
      </c>
      <c r="L73">
        <v>30</v>
      </c>
      <c r="M73">
        <v>30</v>
      </c>
      <c r="N73">
        <v>31</v>
      </c>
      <c r="O73">
        <v>41</v>
      </c>
      <c r="P73">
        <v>31</v>
      </c>
      <c r="Q73">
        <v>21</v>
      </c>
      <c r="R73">
        <v>44</v>
      </c>
      <c r="S73" s="37">
        <f t="shared" si="2"/>
        <v>341</v>
      </c>
    </row>
    <row r="74" spans="5:20" x14ac:dyDescent="0.25">
      <c r="E74" s="24" t="s">
        <v>32</v>
      </c>
      <c r="F74" s="26" t="e">
        <f ca="1">INDIRECT("E"&amp;MATCH("Z:",$A:$A,0)+4)+INDIRECT("D"&amp;MATCH("Z:",$A:$A,0)+7)+INDIRECT("E"&amp;MATCH("Z:",$A:$A,0)+7)</f>
        <v>#N/A</v>
      </c>
      <c r="I74">
        <v>44</v>
      </c>
      <c r="J74">
        <v>40</v>
      </c>
      <c r="K74">
        <v>39</v>
      </c>
      <c r="L74">
        <v>37</v>
      </c>
      <c r="M74">
        <v>36</v>
      </c>
      <c r="N74">
        <v>33</v>
      </c>
      <c r="O74">
        <v>43</v>
      </c>
      <c r="P74">
        <v>33</v>
      </c>
      <c r="Q74">
        <v>24</v>
      </c>
      <c r="R74">
        <v>49</v>
      </c>
      <c r="S74" s="37">
        <f t="shared" si="2"/>
        <v>378</v>
      </c>
      <c r="T74">
        <f>S73/S74</f>
        <v>0.90211640211640209</v>
      </c>
    </row>
    <row r="75" spans="5:20" x14ac:dyDescent="0.25">
      <c r="E75" s="4"/>
      <c r="F75" s="26" t="e">
        <f ca="1">INDIRECT("E"&amp;MATCH("Z:",$A:$A,0)+3)+INDIRECT("D"&amp;MATCH("Z:",$A:$A,0)+6)+INDIRECT("E"&amp;MATCH("Z:",$A:$A,0)+6)</f>
        <v>#N/A</v>
      </c>
      <c r="H75" t="s">
        <v>32</v>
      </c>
      <c r="I75">
        <v>5</v>
      </c>
      <c r="J75">
        <v>9</v>
      </c>
      <c r="K75">
        <v>4</v>
      </c>
      <c r="L75">
        <v>7</v>
      </c>
      <c r="M75">
        <v>6</v>
      </c>
      <c r="N75">
        <v>3</v>
      </c>
      <c r="O75">
        <v>2</v>
      </c>
      <c r="P75">
        <v>5</v>
      </c>
      <c r="Q75">
        <v>2</v>
      </c>
      <c r="R75">
        <v>9</v>
      </c>
      <c r="S75" s="37">
        <f t="shared" si="2"/>
        <v>52</v>
      </c>
    </row>
    <row r="76" spans="5:20" x14ac:dyDescent="0.25">
      <c r="I76">
        <v>36</v>
      </c>
      <c r="J76">
        <v>36</v>
      </c>
      <c r="K76">
        <v>40</v>
      </c>
      <c r="L76">
        <v>37</v>
      </c>
      <c r="M76">
        <v>39</v>
      </c>
      <c r="N76">
        <v>31</v>
      </c>
      <c r="O76">
        <v>41</v>
      </c>
      <c r="P76">
        <v>41</v>
      </c>
      <c r="Q76">
        <v>21</v>
      </c>
      <c r="R76">
        <v>53</v>
      </c>
      <c r="S76" s="37">
        <f t="shared" si="2"/>
        <v>375</v>
      </c>
      <c r="T76">
        <f>S75/S76</f>
        <v>0.13866666666666666</v>
      </c>
    </row>
    <row r="77" spans="5:20" x14ac:dyDescent="0.25">
      <c r="S77" s="37"/>
    </row>
    <row r="78" spans="5:20" x14ac:dyDescent="0.25">
      <c r="S78" s="37"/>
    </row>
    <row r="79" spans="5:20" x14ac:dyDescent="0.25">
      <c r="S79" s="37"/>
    </row>
    <row r="80" spans="5:20" x14ac:dyDescent="0.25">
      <c r="S80" s="37"/>
    </row>
    <row r="81" spans="7:20" x14ac:dyDescent="0.25">
      <c r="G81" s="20" t="s">
        <v>67</v>
      </c>
      <c r="I81" s="20" t="s">
        <v>33</v>
      </c>
      <c r="S81" s="37"/>
    </row>
    <row r="82" spans="7:20" x14ac:dyDescent="0.25">
      <c r="G82" s="21" t="s">
        <v>29</v>
      </c>
      <c r="H82" s="21"/>
      <c r="I82" s="21">
        <v>1</v>
      </c>
      <c r="J82" s="21">
        <v>2</v>
      </c>
      <c r="K82" s="21">
        <v>3</v>
      </c>
      <c r="L82" s="21">
        <v>4</v>
      </c>
      <c r="M82" s="21">
        <v>5</v>
      </c>
      <c r="N82" s="21">
        <v>6</v>
      </c>
      <c r="O82" s="21">
        <v>7</v>
      </c>
      <c r="P82" s="21">
        <v>8</v>
      </c>
      <c r="Q82" s="21">
        <v>9</v>
      </c>
      <c r="R82" s="21">
        <v>10</v>
      </c>
      <c r="S82" s="37"/>
    </row>
    <row r="83" spans="7:20" x14ac:dyDescent="0.25">
      <c r="S83" s="37"/>
    </row>
    <row r="84" spans="7:20" x14ac:dyDescent="0.25">
      <c r="H84" t="s">
        <v>31</v>
      </c>
      <c r="I84">
        <v>31</v>
      </c>
      <c r="J84">
        <v>35</v>
      </c>
      <c r="K84">
        <v>26</v>
      </c>
      <c r="L84">
        <v>33</v>
      </c>
      <c r="M84">
        <v>27</v>
      </c>
      <c r="N84">
        <v>33</v>
      </c>
      <c r="O84">
        <v>28</v>
      </c>
      <c r="P84">
        <v>26</v>
      </c>
      <c r="Q84">
        <v>31</v>
      </c>
      <c r="R84">
        <v>30</v>
      </c>
      <c r="S84" s="37">
        <f>SUM(I84:R84)</f>
        <v>300</v>
      </c>
    </row>
    <row r="85" spans="7:20" x14ac:dyDescent="0.25">
      <c r="I85">
        <v>34</v>
      </c>
      <c r="J85">
        <v>40</v>
      </c>
      <c r="K85">
        <v>36</v>
      </c>
      <c r="L85">
        <v>42</v>
      </c>
      <c r="M85">
        <v>30</v>
      </c>
      <c r="N85">
        <v>39</v>
      </c>
      <c r="O85">
        <v>31</v>
      </c>
      <c r="P85">
        <v>33</v>
      </c>
      <c r="Q85">
        <v>38</v>
      </c>
      <c r="R85">
        <v>35</v>
      </c>
      <c r="S85" s="37">
        <f t="shared" ref="S85:S87" si="3">SUM(I85:R85)</f>
        <v>358</v>
      </c>
      <c r="T85">
        <f>S84/S85</f>
        <v>0.83798882681564246</v>
      </c>
    </row>
    <row r="86" spans="7:20" x14ac:dyDescent="0.25">
      <c r="H86" t="s">
        <v>32</v>
      </c>
      <c r="I86">
        <v>12</v>
      </c>
      <c r="J86">
        <v>13</v>
      </c>
      <c r="K86">
        <v>8</v>
      </c>
      <c r="L86">
        <v>18</v>
      </c>
      <c r="M86">
        <v>7</v>
      </c>
      <c r="N86">
        <v>14</v>
      </c>
      <c r="O86">
        <v>13</v>
      </c>
      <c r="P86">
        <v>7</v>
      </c>
      <c r="Q86">
        <v>12</v>
      </c>
      <c r="R86">
        <v>12</v>
      </c>
      <c r="S86" s="37">
        <f t="shared" si="3"/>
        <v>116</v>
      </c>
    </row>
    <row r="87" spans="7:20" x14ac:dyDescent="0.25">
      <c r="I87">
        <v>33</v>
      </c>
      <c r="J87">
        <v>39</v>
      </c>
      <c r="K87">
        <v>36</v>
      </c>
      <c r="L87">
        <v>36</v>
      </c>
      <c r="M87">
        <v>28</v>
      </c>
      <c r="N87">
        <v>40</v>
      </c>
      <c r="O87">
        <v>30</v>
      </c>
      <c r="P87">
        <v>42</v>
      </c>
      <c r="Q87">
        <v>34</v>
      </c>
      <c r="R87">
        <v>38</v>
      </c>
      <c r="S87" s="37">
        <f t="shared" si="3"/>
        <v>356</v>
      </c>
      <c r="T87">
        <f>S86/S87</f>
        <v>0.3258426966292135</v>
      </c>
    </row>
    <row r="88" spans="7:20" x14ac:dyDescent="0.25">
      <c r="K88" s="30"/>
      <c r="L88" s="30"/>
      <c r="M88" s="30"/>
      <c r="N88" s="30"/>
    </row>
    <row r="89" spans="7:20" x14ac:dyDescent="0.25">
      <c r="K89" s="30"/>
      <c r="L89" s="30"/>
      <c r="M89" s="30"/>
      <c r="N89" s="30"/>
    </row>
    <row r="90" spans="7:20" x14ac:dyDescent="0.25">
      <c r="K90" s="24"/>
      <c r="N90" s="30"/>
    </row>
    <row r="91" spans="7:20" x14ac:dyDescent="0.25">
      <c r="K91" s="4"/>
      <c r="N91" s="30"/>
    </row>
    <row r="92" spans="7:20" x14ac:dyDescent="0.25">
      <c r="K92" s="24"/>
      <c r="M92" t="s">
        <v>51</v>
      </c>
      <c r="N92" s="30"/>
    </row>
    <row r="93" spans="7:20" x14ac:dyDescent="0.25">
      <c r="K93" s="4"/>
      <c r="L93" s="24" t="s">
        <v>31</v>
      </c>
      <c r="M93" s="26" t="e">
        <f ca="1">INDIRECT("F"&amp;MATCH("Z:",$A:$A,0)+4)+INDIRECT("G"&amp;MATCH("Z:",$A:$A,0)+7)+INDIRECT("E"&amp;MATCH("Z:",$A:$A,0)+10)</f>
        <v>#N/A</v>
      </c>
      <c r="N93" s="30"/>
    </row>
    <row r="94" spans="7:20" x14ac:dyDescent="0.25">
      <c r="K94" s="4"/>
      <c r="L94" s="4"/>
      <c r="M94" s="26" t="e">
        <f ca="1">INDIRECT("G"&amp;MATCH("Z:",$A:$A,0)+6)+INDIRECT("D"&amp;MATCH("Z:",$A:$A,0)+10)+INDIRECT("F"&amp;MATCH("Z:",$A:$A,0)+3)</f>
        <v>#N/A</v>
      </c>
      <c r="N94" s="30"/>
    </row>
    <row r="95" spans="7:20" x14ac:dyDescent="0.25">
      <c r="K95" s="4"/>
      <c r="L95" s="24" t="s">
        <v>32</v>
      </c>
      <c r="M95" s="26" t="e">
        <f ca="1">INDIRECT("E"&amp;MATCH("Z:",$A:$A,0)+4)+INDIRECT("D"&amp;MATCH("Z:",$A:$A,0)+7)+INDIRECT("E"&amp;MATCH("Z:",$A:$A,0)+7)</f>
        <v>#N/A</v>
      </c>
      <c r="N95" s="30"/>
    </row>
    <row r="96" spans="7:20" x14ac:dyDescent="0.25">
      <c r="K96" s="24"/>
      <c r="L96" s="4"/>
      <c r="M96" s="26" t="e">
        <f ca="1">INDIRECT("E"&amp;MATCH("Z:",$A:$A,0)+3)+INDIRECT("D"&amp;MATCH("Z:",$A:$A,0)+6)+INDIRECT("E"&amp;MATCH("Z:",$A:$A,0)+6)</f>
        <v>#N/A</v>
      </c>
      <c r="N96" s="30"/>
    </row>
    <row r="97" spans="11:14" x14ac:dyDescent="0.25">
      <c r="K97" s="4"/>
      <c r="N97" s="30"/>
    </row>
    <row r="98" spans="11:14" x14ac:dyDescent="0.25">
      <c r="K98" s="24"/>
      <c r="N98" s="30"/>
    </row>
    <row r="99" spans="11:14" x14ac:dyDescent="0.25">
      <c r="K99" s="4"/>
      <c r="N99" s="30"/>
    </row>
    <row r="100" spans="11:14" x14ac:dyDescent="0.25">
      <c r="K100" s="30"/>
      <c r="N100" s="30"/>
    </row>
    <row r="101" spans="11:14" x14ac:dyDescent="0.25">
      <c r="K101" s="30"/>
      <c r="N101" s="30"/>
    </row>
    <row r="102" spans="11:14" x14ac:dyDescent="0.25">
      <c r="K102" s="30"/>
      <c r="N102" s="3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02"/>
  <sheetViews>
    <sheetView topLeftCell="C1" zoomScale="80" zoomScaleNormal="80" workbookViewId="0">
      <selection activeCell="I10" sqref="I10"/>
    </sheetView>
  </sheetViews>
  <sheetFormatPr baseColWidth="10" defaultRowHeight="15" x14ac:dyDescent="0.25"/>
  <cols>
    <col min="2" max="2" width="86" customWidth="1"/>
    <col min="3" max="3" width="9" customWidth="1"/>
    <col min="4" max="4" width="51.7109375" customWidth="1"/>
    <col min="7" max="7" width="27.5703125" customWidth="1"/>
    <col min="8" max="8" width="8" customWidth="1"/>
    <col min="9" max="9" width="15.5703125" customWidth="1"/>
  </cols>
  <sheetData>
    <row r="1" spans="1:20" x14ac:dyDescent="0.25">
      <c r="A1" s="1"/>
      <c r="B1" s="1" t="s">
        <v>52</v>
      </c>
      <c r="C1" s="1"/>
      <c r="D1" s="1"/>
      <c r="G1" s="20" t="s">
        <v>63</v>
      </c>
    </row>
    <row r="2" spans="1:20" ht="15.75" x14ac:dyDescent="0.25">
      <c r="A2" s="1"/>
      <c r="B2" s="34" t="s">
        <v>57</v>
      </c>
      <c r="C2" s="1"/>
      <c r="D2" s="1"/>
      <c r="G2" s="19" t="s">
        <v>25</v>
      </c>
      <c r="H2" s="1"/>
      <c r="I2" s="20" t="s">
        <v>64</v>
      </c>
      <c r="J2" s="1" t="s">
        <v>38</v>
      </c>
      <c r="K2" s="1"/>
      <c r="L2" s="1"/>
      <c r="M2" s="1"/>
      <c r="N2" s="1"/>
      <c r="O2" s="1"/>
      <c r="P2" s="1"/>
      <c r="Q2" s="1"/>
      <c r="R2" s="1"/>
    </row>
    <row r="3" spans="1:20" x14ac:dyDescent="0.25">
      <c r="A3" s="1"/>
      <c r="B3" s="1"/>
      <c r="C3" s="1"/>
      <c r="D3" s="1"/>
      <c r="G3" s="19"/>
      <c r="H3" s="1"/>
      <c r="I3" s="1"/>
      <c r="J3" s="1" t="s">
        <v>39</v>
      </c>
      <c r="K3" s="1"/>
      <c r="L3" s="1"/>
      <c r="M3" s="1"/>
      <c r="N3" s="1"/>
      <c r="O3" s="1"/>
      <c r="P3" s="1"/>
      <c r="Q3" s="1"/>
      <c r="R3" s="1"/>
    </row>
    <row r="4" spans="1:20" ht="15.75" x14ac:dyDescent="0.25">
      <c r="A4" s="1"/>
      <c r="B4" s="2" t="s">
        <v>1</v>
      </c>
      <c r="C4" s="3"/>
      <c r="D4" s="4"/>
      <c r="G4" s="20" t="s">
        <v>36</v>
      </c>
      <c r="H4" s="1"/>
      <c r="I4" s="20" t="s">
        <v>28</v>
      </c>
      <c r="J4" s="19"/>
      <c r="K4" s="19"/>
      <c r="L4" s="19"/>
      <c r="M4" s="19"/>
      <c r="N4" s="19"/>
      <c r="O4" s="19"/>
      <c r="P4" s="19"/>
      <c r="Q4" s="19"/>
      <c r="R4" s="19"/>
    </row>
    <row r="5" spans="1:20" ht="15.75" x14ac:dyDescent="0.25">
      <c r="A5" s="1"/>
      <c r="B5" s="5" t="s">
        <v>42</v>
      </c>
      <c r="C5" s="6"/>
      <c r="D5" s="4"/>
      <c r="G5" s="21" t="s">
        <v>29</v>
      </c>
      <c r="H5" s="22"/>
      <c r="I5" s="21">
        <v>1</v>
      </c>
      <c r="J5" s="21">
        <v>2</v>
      </c>
      <c r="K5" s="21">
        <v>3</v>
      </c>
      <c r="L5" s="21">
        <v>4</v>
      </c>
      <c r="M5" s="21">
        <v>5</v>
      </c>
      <c r="N5" s="21">
        <v>6</v>
      </c>
      <c r="O5" s="21">
        <v>7</v>
      </c>
      <c r="P5" s="21">
        <v>8</v>
      </c>
      <c r="Q5" s="21">
        <v>9</v>
      </c>
      <c r="R5" s="21">
        <v>10</v>
      </c>
    </row>
    <row r="6" spans="1:20" x14ac:dyDescent="0.25">
      <c r="A6" s="1"/>
      <c r="B6" s="7" t="s">
        <v>3</v>
      </c>
      <c r="C6" s="7"/>
      <c r="D6" s="4"/>
      <c r="G6" s="1"/>
      <c r="H6" s="19"/>
      <c r="I6" s="1"/>
      <c r="J6" s="1"/>
      <c r="K6" s="1"/>
      <c r="L6" s="1"/>
      <c r="M6" s="1"/>
      <c r="N6" s="1"/>
      <c r="O6" s="1"/>
      <c r="P6" s="1"/>
      <c r="Q6" s="1"/>
      <c r="R6" s="1"/>
    </row>
    <row r="7" spans="1:20" x14ac:dyDescent="0.25">
      <c r="A7" s="1"/>
      <c r="B7" s="8" t="s">
        <v>4</v>
      </c>
      <c r="C7" s="8"/>
      <c r="D7" s="1"/>
      <c r="H7" t="s">
        <v>31</v>
      </c>
      <c r="I7">
        <v>20</v>
      </c>
      <c r="J7" s="1">
        <v>30</v>
      </c>
      <c r="K7" s="1">
        <v>44</v>
      </c>
      <c r="L7" s="1">
        <v>34</v>
      </c>
      <c r="M7" s="1">
        <v>29</v>
      </c>
      <c r="N7" s="1">
        <v>42</v>
      </c>
      <c r="O7" s="1">
        <v>44</v>
      </c>
      <c r="P7" s="1">
        <v>32</v>
      </c>
      <c r="Q7" s="1">
        <v>38</v>
      </c>
      <c r="R7" s="1">
        <v>41</v>
      </c>
      <c r="S7" s="37">
        <f>SUM(I7:R7)</f>
        <v>354</v>
      </c>
    </row>
    <row r="8" spans="1:20" x14ac:dyDescent="0.25">
      <c r="A8" s="1"/>
      <c r="B8" s="9" t="s">
        <v>46</v>
      </c>
      <c r="C8" s="10"/>
      <c r="D8" s="11" t="s">
        <v>6</v>
      </c>
      <c r="I8">
        <v>26</v>
      </c>
      <c r="J8">
        <v>40</v>
      </c>
      <c r="K8">
        <v>59</v>
      </c>
      <c r="L8">
        <v>49</v>
      </c>
      <c r="M8">
        <v>39</v>
      </c>
      <c r="N8">
        <v>54</v>
      </c>
      <c r="O8">
        <v>52</v>
      </c>
      <c r="P8">
        <v>39</v>
      </c>
      <c r="Q8">
        <v>44</v>
      </c>
      <c r="R8">
        <v>46</v>
      </c>
      <c r="S8" s="37">
        <f t="shared" ref="S8:S21" si="0">SUM(I8:R8)</f>
        <v>448</v>
      </c>
      <c r="T8">
        <f>S7/S8</f>
        <v>0.7901785714285714</v>
      </c>
    </row>
    <row r="9" spans="1:20" x14ac:dyDescent="0.25">
      <c r="A9" s="1"/>
      <c r="B9" s="9" t="s">
        <v>43</v>
      </c>
      <c r="C9" s="10"/>
      <c r="D9" s="12" t="s">
        <v>8</v>
      </c>
      <c r="H9" t="s">
        <v>32</v>
      </c>
      <c r="I9">
        <v>4</v>
      </c>
      <c r="J9">
        <v>4</v>
      </c>
      <c r="K9">
        <v>1</v>
      </c>
      <c r="L9">
        <v>3</v>
      </c>
      <c r="M9">
        <v>0</v>
      </c>
      <c r="N9">
        <v>3</v>
      </c>
      <c r="O9">
        <v>1</v>
      </c>
      <c r="P9">
        <v>0</v>
      </c>
      <c r="Q9">
        <v>3</v>
      </c>
      <c r="R9">
        <v>2</v>
      </c>
      <c r="S9" s="37">
        <f t="shared" si="0"/>
        <v>21</v>
      </c>
    </row>
    <row r="10" spans="1:20" x14ac:dyDescent="0.25">
      <c r="A10" s="1"/>
      <c r="B10" s="13" t="s">
        <v>23</v>
      </c>
      <c r="C10" s="13" t="s">
        <v>10</v>
      </c>
      <c r="D10" s="14" t="s">
        <v>47</v>
      </c>
      <c r="I10">
        <v>32</v>
      </c>
      <c r="J10">
        <v>48</v>
      </c>
      <c r="K10">
        <v>56</v>
      </c>
      <c r="L10">
        <v>58</v>
      </c>
      <c r="M10">
        <v>41</v>
      </c>
      <c r="N10">
        <v>47</v>
      </c>
      <c r="O10">
        <v>49</v>
      </c>
      <c r="P10">
        <v>36</v>
      </c>
      <c r="Q10">
        <v>46</v>
      </c>
      <c r="R10">
        <v>44</v>
      </c>
      <c r="S10" s="37">
        <f t="shared" si="0"/>
        <v>457</v>
      </c>
      <c r="T10">
        <f>S9/S10</f>
        <v>4.5951859956236324E-2</v>
      </c>
    </row>
    <row r="11" spans="1:20" x14ac:dyDescent="0.25">
      <c r="A11" s="1"/>
      <c r="B11" s="15" t="s">
        <v>19</v>
      </c>
      <c r="C11" s="15"/>
      <c r="D11" s="16" t="s">
        <v>48</v>
      </c>
      <c r="S11" s="37"/>
    </row>
    <row r="12" spans="1:20" x14ac:dyDescent="0.25">
      <c r="A12" s="1"/>
      <c r="B12" s="8"/>
      <c r="C12" s="8"/>
      <c r="D12" s="17"/>
      <c r="S12" s="37"/>
    </row>
    <row r="13" spans="1:20" x14ac:dyDescent="0.25">
      <c r="A13" s="1"/>
      <c r="B13" s="8"/>
      <c r="C13" s="8"/>
      <c r="D13" s="17"/>
      <c r="F13" t="s">
        <v>51</v>
      </c>
      <c r="S13" s="37"/>
    </row>
    <row r="14" spans="1:20" x14ac:dyDescent="0.25">
      <c r="A14" s="1"/>
      <c r="B14" s="8"/>
      <c r="C14" s="8"/>
      <c r="D14" s="17"/>
      <c r="E14" s="24" t="s">
        <v>31</v>
      </c>
      <c r="F14" s="26" t="e">
        <f ca="1">INDIRECT("F"&amp;MATCH("Z:",$A:$A,0)+4)+INDIRECT("G"&amp;MATCH("Z:",$A:$A,0)+7)+INDIRECT("E"&amp;MATCH("Z:",$A:$A,0)+10)</f>
        <v>#N/A</v>
      </c>
      <c r="S14" s="37"/>
    </row>
    <row r="15" spans="1:20" x14ac:dyDescent="0.25">
      <c r="A15" s="1"/>
      <c r="B15" s="8"/>
      <c r="C15" s="8"/>
      <c r="D15" s="17"/>
      <c r="E15" s="4"/>
      <c r="F15" s="26" t="e">
        <f ca="1">INDIRECT("G"&amp;MATCH("Z:",$A:$A,0)+6)+INDIRECT("D"&amp;MATCH("Z:",$A:$A,0)+10)+INDIRECT("F"&amp;MATCH("Z:",$A:$A,0)+3)</f>
        <v>#N/A</v>
      </c>
      <c r="G15" s="20" t="s">
        <v>36</v>
      </c>
      <c r="H15" s="19"/>
      <c r="I15" s="23" t="s">
        <v>33</v>
      </c>
      <c r="J15" s="19"/>
      <c r="K15" s="19"/>
      <c r="L15" s="19"/>
      <c r="M15" s="19"/>
      <c r="N15" s="19"/>
      <c r="O15" s="19"/>
      <c r="P15" s="19"/>
      <c r="Q15" s="19"/>
      <c r="R15" s="19"/>
      <c r="S15" s="37"/>
    </row>
    <row r="16" spans="1:20" x14ac:dyDescent="0.25">
      <c r="A16" s="1"/>
      <c r="B16" s="8"/>
      <c r="C16" s="8"/>
      <c r="D16" s="17"/>
      <c r="E16" s="24" t="s">
        <v>32</v>
      </c>
      <c r="F16" s="26" t="e">
        <f ca="1">INDIRECT("E"&amp;MATCH("Z:",$A:$A,0)+4)+INDIRECT("D"&amp;MATCH("Z:",$A:$A,0)+7)+INDIRECT("E"&amp;MATCH("Z:",$A:$A,0)+7)</f>
        <v>#N/A</v>
      </c>
      <c r="G16" s="21" t="s">
        <v>29</v>
      </c>
      <c r="H16" s="21"/>
      <c r="I16" s="21">
        <v>1</v>
      </c>
      <c r="J16" s="21">
        <v>2</v>
      </c>
      <c r="K16" s="21">
        <v>3</v>
      </c>
      <c r="L16" s="21">
        <v>4</v>
      </c>
      <c r="M16" s="21">
        <v>5</v>
      </c>
      <c r="N16" s="21">
        <v>6</v>
      </c>
      <c r="O16" s="21">
        <v>7</v>
      </c>
      <c r="P16" s="21">
        <v>8</v>
      </c>
      <c r="Q16" s="21">
        <v>9</v>
      </c>
      <c r="R16" s="21">
        <v>10</v>
      </c>
      <c r="S16" s="37"/>
    </row>
    <row r="17" spans="1:20" x14ac:dyDescent="0.25">
      <c r="A17" s="1"/>
      <c r="B17" s="7" t="s">
        <v>14</v>
      </c>
      <c r="C17" s="7"/>
      <c r="D17" s="17"/>
      <c r="E17" s="4"/>
      <c r="F17" s="26" t="e">
        <f ca="1">INDIRECT("E"&amp;MATCH("Z:",$A:$A,0)+3)+INDIRECT("D"&amp;MATCH("Z:",$A:$A,0)+6)+INDIRECT("E"&amp;MATCH("Z:",$A:$A,0)+6)</f>
        <v>#N/A</v>
      </c>
      <c r="S17" s="37"/>
    </row>
    <row r="18" spans="1:20" x14ac:dyDescent="0.25">
      <c r="A18" s="1"/>
      <c r="B18" s="8" t="s">
        <v>15</v>
      </c>
      <c r="C18" s="8"/>
      <c r="D18" s="17"/>
      <c r="H18" t="s">
        <v>31</v>
      </c>
      <c r="I18">
        <v>38</v>
      </c>
      <c r="J18">
        <v>42</v>
      </c>
      <c r="K18">
        <v>34</v>
      </c>
      <c r="L18">
        <v>40</v>
      </c>
      <c r="M18">
        <v>58</v>
      </c>
      <c r="N18">
        <v>42</v>
      </c>
      <c r="O18">
        <v>53</v>
      </c>
      <c r="P18">
        <v>32</v>
      </c>
      <c r="Q18">
        <v>32</v>
      </c>
      <c r="R18">
        <v>35</v>
      </c>
      <c r="S18" s="37">
        <f t="shared" si="0"/>
        <v>406</v>
      </c>
    </row>
    <row r="19" spans="1:20" x14ac:dyDescent="0.25">
      <c r="A19" s="1"/>
      <c r="B19" s="9" t="s">
        <v>45</v>
      </c>
      <c r="C19" s="10"/>
      <c r="D19" s="1"/>
      <c r="I19">
        <v>44</v>
      </c>
      <c r="J19">
        <v>46</v>
      </c>
      <c r="K19">
        <v>42</v>
      </c>
      <c r="L19">
        <v>54</v>
      </c>
      <c r="M19">
        <v>68</v>
      </c>
      <c r="N19">
        <v>45</v>
      </c>
      <c r="O19">
        <v>57</v>
      </c>
      <c r="P19">
        <v>36</v>
      </c>
      <c r="Q19">
        <v>35</v>
      </c>
      <c r="R19">
        <v>39</v>
      </c>
      <c r="S19" s="37">
        <f t="shared" si="0"/>
        <v>466</v>
      </c>
      <c r="T19">
        <f>S18/S19</f>
        <v>0.871244635193133</v>
      </c>
    </row>
    <row r="20" spans="1:20" x14ac:dyDescent="0.25">
      <c r="A20" s="1"/>
      <c r="B20" s="9" t="s">
        <v>44</v>
      </c>
      <c r="C20" s="10"/>
      <c r="D20" s="1"/>
      <c r="H20" t="s">
        <v>32</v>
      </c>
      <c r="I20">
        <v>13</v>
      </c>
      <c r="J20">
        <v>13</v>
      </c>
      <c r="K20">
        <v>6</v>
      </c>
      <c r="L20">
        <v>17</v>
      </c>
      <c r="M20">
        <v>21</v>
      </c>
      <c r="N20">
        <v>4</v>
      </c>
      <c r="O20">
        <v>11</v>
      </c>
      <c r="P20">
        <v>7</v>
      </c>
      <c r="Q20">
        <v>7</v>
      </c>
      <c r="R20">
        <v>6</v>
      </c>
      <c r="S20" s="37">
        <f t="shared" si="0"/>
        <v>105</v>
      </c>
    </row>
    <row r="21" spans="1:20" x14ac:dyDescent="0.25">
      <c r="A21" s="1"/>
      <c r="B21" s="1"/>
      <c r="C21" s="1"/>
      <c r="D21" s="1"/>
      <c r="I21">
        <v>50</v>
      </c>
      <c r="J21">
        <v>41</v>
      </c>
      <c r="K21">
        <v>36</v>
      </c>
      <c r="L21">
        <v>48</v>
      </c>
      <c r="M21">
        <v>60</v>
      </c>
      <c r="N21">
        <v>43</v>
      </c>
      <c r="O21">
        <v>55</v>
      </c>
      <c r="P21">
        <v>33</v>
      </c>
      <c r="Q21">
        <v>37</v>
      </c>
      <c r="R21">
        <v>45</v>
      </c>
      <c r="S21" s="37">
        <f t="shared" si="0"/>
        <v>448</v>
      </c>
      <c r="T21">
        <f>S20/S21</f>
        <v>0.234375</v>
      </c>
    </row>
    <row r="22" spans="1:20" x14ac:dyDescent="0.25">
      <c r="A22" s="1"/>
      <c r="B22" s="1"/>
      <c r="C22" s="1"/>
      <c r="D22" s="11" t="s">
        <v>6</v>
      </c>
    </row>
    <row r="23" spans="1:20" x14ac:dyDescent="0.25">
      <c r="A23" s="1"/>
      <c r="B23" s="18"/>
      <c r="C23" s="18"/>
      <c r="D23" s="12" t="s">
        <v>8</v>
      </c>
    </row>
    <row r="24" spans="1:20" x14ac:dyDescent="0.25">
      <c r="A24" s="1"/>
      <c r="B24" s="13" t="s">
        <v>23</v>
      </c>
      <c r="C24" s="13" t="s">
        <v>18</v>
      </c>
      <c r="D24" s="16" t="s">
        <v>49</v>
      </c>
    </row>
    <row r="25" spans="1:20" x14ac:dyDescent="0.25">
      <c r="A25" s="1"/>
      <c r="B25" s="15" t="s">
        <v>12</v>
      </c>
      <c r="C25" s="15"/>
      <c r="D25" s="16" t="s">
        <v>50</v>
      </c>
    </row>
    <row r="26" spans="1:20" x14ac:dyDescent="0.25">
      <c r="A26" s="1"/>
      <c r="B26" s="8"/>
      <c r="C26" s="8"/>
      <c r="D26" s="4"/>
      <c r="G26" s="20" t="s">
        <v>61</v>
      </c>
      <c r="H26" s="19"/>
      <c r="I26" s="20" t="s">
        <v>28</v>
      </c>
      <c r="J26" s="19"/>
      <c r="K26" s="19"/>
      <c r="L26" s="19"/>
      <c r="M26" s="19"/>
      <c r="N26" s="19"/>
      <c r="O26" s="19"/>
      <c r="P26" s="19"/>
      <c r="Q26" s="19"/>
      <c r="R26" s="19"/>
    </row>
    <row r="27" spans="1:20" x14ac:dyDescent="0.25">
      <c r="A27" s="1"/>
      <c r="B27" s="8"/>
      <c r="C27" s="8"/>
      <c r="D27" s="4"/>
      <c r="G27" s="27"/>
      <c r="H27" s="21"/>
      <c r="I27" s="21">
        <v>1</v>
      </c>
      <c r="J27" s="21">
        <v>2</v>
      </c>
      <c r="K27" s="21">
        <v>3</v>
      </c>
      <c r="L27" s="21">
        <v>4</v>
      </c>
      <c r="M27" s="21">
        <v>5</v>
      </c>
      <c r="N27" s="21">
        <v>6</v>
      </c>
      <c r="O27" s="21">
        <v>7</v>
      </c>
      <c r="P27" s="21">
        <v>8</v>
      </c>
      <c r="Q27" s="21">
        <v>9</v>
      </c>
      <c r="R27" s="21">
        <v>10</v>
      </c>
    </row>
    <row r="28" spans="1:20" x14ac:dyDescent="0.25">
      <c r="A28" s="1"/>
      <c r="B28" s="8"/>
      <c r="C28" s="8"/>
      <c r="D28" s="4"/>
    </row>
    <row r="29" spans="1:20" x14ac:dyDescent="0.25">
      <c r="A29" s="1"/>
      <c r="B29" s="7" t="s">
        <v>21</v>
      </c>
      <c r="C29" s="7"/>
      <c r="D29" s="4"/>
      <c r="H29" t="s">
        <v>31</v>
      </c>
      <c r="I29">
        <v>32</v>
      </c>
      <c r="J29">
        <v>30</v>
      </c>
      <c r="K29">
        <v>30</v>
      </c>
      <c r="L29">
        <v>42</v>
      </c>
      <c r="M29">
        <v>30</v>
      </c>
      <c r="N29">
        <v>31</v>
      </c>
      <c r="O29">
        <v>25</v>
      </c>
      <c r="P29">
        <v>28</v>
      </c>
      <c r="Q29">
        <v>32</v>
      </c>
      <c r="R29">
        <v>31</v>
      </c>
      <c r="S29" s="37">
        <f>SUM(I29:R29)</f>
        <v>311</v>
      </c>
    </row>
    <row r="30" spans="1:20" x14ac:dyDescent="0.25">
      <c r="A30" s="1"/>
      <c r="B30" s="8"/>
      <c r="C30" s="8"/>
      <c r="D30" s="4"/>
      <c r="I30">
        <v>34</v>
      </c>
      <c r="J30">
        <v>40</v>
      </c>
      <c r="K30">
        <v>43</v>
      </c>
      <c r="L30">
        <v>47</v>
      </c>
      <c r="M30">
        <v>36</v>
      </c>
      <c r="N30">
        <v>37</v>
      </c>
      <c r="O30">
        <v>33</v>
      </c>
      <c r="P30">
        <v>34</v>
      </c>
      <c r="Q30">
        <v>36</v>
      </c>
      <c r="R30">
        <v>38</v>
      </c>
      <c r="S30" s="37">
        <f t="shared" ref="S30:S32" si="1">SUM(I30:R30)</f>
        <v>378</v>
      </c>
      <c r="T30">
        <f>S29/S30</f>
        <v>0.82275132275132279</v>
      </c>
    </row>
    <row r="31" spans="1:20" x14ac:dyDescent="0.25">
      <c r="A31" s="1"/>
      <c r="B31" s="8"/>
      <c r="C31" s="8"/>
      <c r="D31" s="4"/>
      <c r="H31" t="s">
        <v>32</v>
      </c>
      <c r="I31">
        <v>11</v>
      </c>
      <c r="J31">
        <v>7</v>
      </c>
      <c r="K31">
        <v>7</v>
      </c>
      <c r="L31">
        <v>12</v>
      </c>
      <c r="M31">
        <v>8</v>
      </c>
      <c r="N31">
        <v>4</v>
      </c>
      <c r="O31">
        <v>9</v>
      </c>
      <c r="P31">
        <v>8</v>
      </c>
      <c r="Q31">
        <v>9</v>
      </c>
      <c r="R31">
        <v>8</v>
      </c>
      <c r="S31" s="37">
        <f t="shared" si="1"/>
        <v>83</v>
      </c>
    </row>
    <row r="32" spans="1:20" x14ac:dyDescent="0.25">
      <c r="A32" s="1"/>
      <c r="B32" s="7" t="s">
        <v>22</v>
      </c>
      <c r="C32" s="7"/>
      <c r="D32" s="4"/>
      <c r="I32">
        <v>37</v>
      </c>
      <c r="J32">
        <v>35</v>
      </c>
      <c r="K32">
        <v>32</v>
      </c>
      <c r="L32">
        <v>44</v>
      </c>
      <c r="M32">
        <v>38</v>
      </c>
      <c r="N32">
        <v>28</v>
      </c>
      <c r="O32">
        <v>34</v>
      </c>
      <c r="P32">
        <v>32</v>
      </c>
      <c r="Q32">
        <v>42</v>
      </c>
      <c r="R32">
        <v>36</v>
      </c>
      <c r="S32" s="37">
        <f t="shared" si="1"/>
        <v>358</v>
      </c>
      <c r="T32">
        <f>S31/S32</f>
        <v>0.23184357541899442</v>
      </c>
    </row>
    <row r="33" spans="1:20" x14ac:dyDescent="0.25">
      <c r="A33" s="1"/>
      <c r="B33" s="13"/>
      <c r="C33" s="13"/>
      <c r="D33" s="14"/>
      <c r="R33" s="35">
        <v>31.111111111111111</v>
      </c>
      <c r="S33" s="37"/>
    </row>
    <row r="34" spans="1:20" x14ac:dyDescent="0.25">
      <c r="A34" s="1"/>
      <c r="B34" s="15"/>
      <c r="C34" s="15"/>
      <c r="D34" s="16"/>
      <c r="R34" s="35">
        <v>37.777777777777779</v>
      </c>
      <c r="S34" s="37"/>
    </row>
    <row r="35" spans="1:20" x14ac:dyDescent="0.25">
      <c r="A35" s="1"/>
      <c r="B35" s="1"/>
      <c r="C35" s="1"/>
      <c r="D35" s="1"/>
      <c r="R35" s="35">
        <v>8.3333333333333339</v>
      </c>
      <c r="S35" s="37"/>
    </row>
    <row r="36" spans="1:20" x14ac:dyDescent="0.25">
      <c r="A36" s="1"/>
      <c r="B36" s="1"/>
      <c r="C36" s="1"/>
      <c r="D36" s="29"/>
      <c r="R36" s="35">
        <v>35.777777777777779</v>
      </c>
      <c r="S36" s="37"/>
    </row>
    <row r="37" spans="1:20" x14ac:dyDescent="0.25">
      <c r="A37" s="1"/>
      <c r="B37" s="33" t="s">
        <v>60</v>
      </c>
      <c r="D37" s="32"/>
      <c r="G37" s="20" t="s">
        <v>61</v>
      </c>
      <c r="H37" s="19"/>
      <c r="I37" s="20" t="s">
        <v>33</v>
      </c>
      <c r="J37" s="19"/>
      <c r="K37" s="19"/>
      <c r="L37" s="19"/>
      <c r="M37" s="19"/>
      <c r="N37" s="19"/>
      <c r="O37" s="19"/>
      <c r="P37" s="19"/>
      <c r="Q37" s="19"/>
      <c r="R37" s="19"/>
      <c r="S37" s="37"/>
    </row>
    <row r="38" spans="1:20" x14ac:dyDescent="0.25">
      <c r="A38" s="1"/>
      <c r="B38" s="17"/>
      <c r="C38" s="4"/>
      <c r="D38" s="32"/>
      <c r="G38" s="21" t="s">
        <v>29</v>
      </c>
      <c r="H38" s="21"/>
      <c r="I38" s="21">
        <v>1</v>
      </c>
      <c r="J38" s="21">
        <v>2</v>
      </c>
      <c r="K38" s="21">
        <v>3</v>
      </c>
      <c r="L38" s="21">
        <v>4</v>
      </c>
      <c r="M38" s="21">
        <v>5</v>
      </c>
      <c r="N38" s="21">
        <v>6</v>
      </c>
      <c r="O38" s="21">
        <v>7</v>
      </c>
      <c r="P38" s="21">
        <v>8</v>
      </c>
      <c r="Q38" s="21">
        <v>9</v>
      </c>
      <c r="R38" s="21">
        <v>10</v>
      </c>
      <c r="S38" s="37"/>
    </row>
    <row r="39" spans="1:20" x14ac:dyDescent="0.25">
      <c r="A39" s="1"/>
      <c r="B39" s="17"/>
      <c r="C39" s="24"/>
      <c r="D39" s="32"/>
      <c r="S39" s="37"/>
    </row>
    <row r="40" spans="1:20" x14ac:dyDescent="0.25">
      <c r="A40" s="1"/>
      <c r="B40" s="24" t="s">
        <v>31</v>
      </c>
      <c r="C40" s="26" t="e">
        <f ca="1">INDIRECT("F"&amp;MATCH("Z:",$A:$A,0)+4)+INDIRECT("G"&amp;MATCH("Z:",$A:$A,0)+7)+INDIRECT("E"&amp;MATCH("Z:",$A:$A,0)+10)</f>
        <v>#N/A</v>
      </c>
      <c r="D40" s="32"/>
      <c r="H40" t="s">
        <v>31</v>
      </c>
      <c r="I40">
        <v>36</v>
      </c>
      <c r="J40">
        <v>26</v>
      </c>
      <c r="K40">
        <v>23</v>
      </c>
      <c r="L40">
        <v>33</v>
      </c>
      <c r="M40">
        <v>39</v>
      </c>
      <c r="N40">
        <v>32</v>
      </c>
      <c r="O40">
        <v>26</v>
      </c>
      <c r="P40">
        <v>29</v>
      </c>
      <c r="Q40">
        <v>43</v>
      </c>
      <c r="R40">
        <v>32</v>
      </c>
      <c r="S40" s="37">
        <f>SUM(I40:R40)</f>
        <v>319</v>
      </c>
    </row>
    <row r="41" spans="1:20" x14ac:dyDescent="0.25">
      <c r="B41" s="4"/>
      <c r="C41" s="26" t="e">
        <f ca="1">INDIRECT("G"&amp;MATCH("Z:",$A:$A,0)+6)+INDIRECT("D"&amp;MATCH("Z:",$A:$A,0)+10)+INDIRECT("F"&amp;MATCH("Z:",$A:$A,0)+3)</f>
        <v>#N/A</v>
      </c>
      <c r="D41" s="4"/>
      <c r="I41">
        <v>40</v>
      </c>
      <c r="J41">
        <v>29</v>
      </c>
      <c r="K41">
        <v>30</v>
      </c>
      <c r="L41">
        <v>36</v>
      </c>
      <c r="M41">
        <v>40</v>
      </c>
      <c r="N41">
        <v>34</v>
      </c>
      <c r="O41">
        <v>30</v>
      </c>
      <c r="P41">
        <v>32</v>
      </c>
      <c r="Q41">
        <v>45</v>
      </c>
      <c r="R41">
        <v>36</v>
      </c>
      <c r="S41" s="37">
        <f>SUM(I41:R41)</f>
        <v>352</v>
      </c>
      <c r="T41">
        <f>S40/S41</f>
        <v>0.90625</v>
      </c>
    </row>
    <row r="42" spans="1:20" x14ac:dyDescent="0.25">
      <c r="B42" s="24" t="s">
        <v>32</v>
      </c>
      <c r="C42" s="26" t="e">
        <f ca="1">INDIRECT("E"&amp;MATCH("Z:",$A:$A,0)+4)+INDIRECT("D"&amp;MATCH("Z:",$A:$A,0)+7)+INDIRECT("E"&amp;MATCH("Z:",$A:$A,0)+7)</f>
        <v>#N/A</v>
      </c>
      <c r="D42" s="4"/>
      <c r="H42" t="s">
        <v>32</v>
      </c>
      <c r="I42">
        <v>10</v>
      </c>
      <c r="J42">
        <v>17</v>
      </c>
      <c r="K42">
        <v>9</v>
      </c>
      <c r="L42">
        <v>12</v>
      </c>
      <c r="M42">
        <v>9</v>
      </c>
      <c r="N42">
        <v>12</v>
      </c>
      <c r="O42">
        <v>7</v>
      </c>
      <c r="P42">
        <v>7</v>
      </c>
      <c r="Q42">
        <v>16</v>
      </c>
      <c r="R42">
        <v>8</v>
      </c>
      <c r="S42" s="37">
        <f>SUM(I42:R42)</f>
        <v>107</v>
      </c>
    </row>
    <row r="43" spans="1:20" x14ac:dyDescent="0.25">
      <c r="B43" s="4"/>
      <c r="C43" s="26" t="e">
        <f ca="1">INDIRECT("E"&amp;MATCH("Z:",$A:$A,0)+3)+INDIRECT("D"&amp;MATCH("Z:",$A:$A,0)+6)+INDIRECT("E"&amp;MATCH("Z:",$A:$A,0)+6)</f>
        <v>#N/A</v>
      </c>
      <c r="D43" s="32"/>
      <c r="I43">
        <v>44</v>
      </c>
      <c r="J43">
        <v>33</v>
      </c>
      <c r="K43">
        <v>34</v>
      </c>
      <c r="L43">
        <v>35</v>
      </c>
      <c r="M43">
        <v>36</v>
      </c>
      <c r="N43">
        <v>36</v>
      </c>
      <c r="O43">
        <v>27</v>
      </c>
      <c r="P43">
        <v>28</v>
      </c>
      <c r="Q43">
        <v>51</v>
      </c>
      <c r="R43">
        <v>30</v>
      </c>
      <c r="S43" s="37">
        <f>SUM(I43:R43)</f>
        <v>354</v>
      </c>
      <c r="T43">
        <f>S42/S43</f>
        <v>0.30225988700564971</v>
      </c>
    </row>
    <row r="44" spans="1:20" x14ac:dyDescent="0.25">
      <c r="B44" s="17"/>
      <c r="C44" s="24"/>
      <c r="D44" s="32"/>
      <c r="F44" t="s">
        <v>51</v>
      </c>
    </row>
    <row r="45" spans="1:20" x14ac:dyDescent="0.25">
      <c r="B45" s="17"/>
      <c r="C45" s="24"/>
      <c r="D45" s="32"/>
      <c r="E45" s="24" t="s">
        <v>31</v>
      </c>
      <c r="F45" s="26" t="e">
        <f ca="1">INDIRECT("F"&amp;MATCH("Z:",$A:$A,0)+4)+INDIRECT("G"&amp;MATCH("Z:",$A:$A,0)+7)+INDIRECT("E"&amp;MATCH("Z:",$A:$A,0)+10)</f>
        <v>#N/A</v>
      </c>
    </row>
    <row r="46" spans="1:20" x14ac:dyDescent="0.25">
      <c r="B46" s="24"/>
      <c r="C46" s="26"/>
      <c r="D46" s="32"/>
      <c r="E46" s="4"/>
      <c r="F46" s="26" t="e">
        <f ca="1">INDIRECT("G"&amp;MATCH("Z:",$A:$A,0)+6)+INDIRECT("D"&amp;MATCH("Z:",$A:$A,0)+10)+INDIRECT("F"&amp;MATCH("Z:",$A:$A,0)+3)</f>
        <v>#N/A</v>
      </c>
    </row>
    <row r="47" spans="1:20" x14ac:dyDescent="0.25">
      <c r="B47" s="4"/>
      <c r="C47" s="26"/>
      <c r="D47" s="30"/>
      <c r="E47" s="24" t="s">
        <v>32</v>
      </c>
      <c r="F47" s="26" t="e">
        <f ca="1">INDIRECT("E"&amp;MATCH("Z:",$A:$A,0)+4)+INDIRECT("D"&amp;MATCH("Z:",$A:$A,0)+7)+INDIRECT("E"&amp;MATCH("Z:",$A:$A,0)+7)</f>
        <v>#N/A</v>
      </c>
    </row>
    <row r="48" spans="1:20" x14ac:dyDescent="0.25">
      <c r="B48" s="24"/>
      <c r="C48" s="26"/>
      <c r="E48" s="4"/>
      <c r="F48" s="26" t="e">
        <f ca="1">INDIRECT("E"&amp;MATCH("Z:",$A:$A,0)+3)+INDIRECT("D"&amp;MATCH("Z:",$A:$A,0)+6)+INDIRECT("E"&amp;MATCH("Z:",$A:$A,0)+6)</f>
        <v>#N/A</v>
      </c>
      <c r="G48" s="20" t="s">
        <v>34</v>
      </c>
      <c r="I48" s="20" t="s">
        <v>28</v>
      </c>
    </row>
    <row r="49" spans="2:20" x14ac:dyDescent="0.25">
      <c r="B49" s="4"/>
      <c r="C49" s="26"/>
      <c r="G49" s="21" t="s">
        <v>29</v>
      </c>
      <c r="H49" s="21"/>
      <c r="I49" s="21">
        <v>1</v>
      </c>
      <c r="J49" s="21">
        <v>2</v>
      </c>
      <c r="K49" s="21">
        <v>3</v>
      </c>
      <c r="L49" s="21">
        <v>4</v>
      </c>
      <c r="M49" s="21">
        <v>5</v>
      </c>
      <c r="N49" s="21">
        <v>6</v>
      </c>
      <c r="O49" s="21">
        <v>7</v>
      </c>
      <c r="P49" s="21">
        <v>8</v>
      </c>
      <c r="Q49" s="21">
        <v>9</v>
      </c>
      <c r="R49" s="21">
        <v>10</v>
      </c>
    </row>
    <row r="50" spans="2:20" x14ac:dyDescent="0.25">
      <c r="B50" s="17"/>
      <c r="C50" s="24"/>
    </row>
    <row r="51" spans="2:20" x14ac:dyDescent="0.25">
      <c r="H51" t="s">
        <v>31</v>
      </c>
      <c r="I51">
        <v>34</v>
      </c>
      <c r="J51">
        <v>33</v>
      </c>
      <c r="K51">
        <v>42</v>
      </c>
      <c r="L51">
        <v>32</v>
      </c>
      <c r="M51">
        <v>29</v>
      </c>
      <c r="N51">
        <v>29</v>
      </c>
      <c r="O51">
        <v>31</v>
      </c>
      <c r="P51">
        <v>30</v>
      </c>
      <c r="Q51">
        <v>26</v>
      </c>
      <c r="R51">
        <v>30</v>
      </c>
      <c r="S51" s="37">
        <f>SUM(I51:R51)</f>
        <v>316</v>
      </c>
    </row>
    <row r="52" spans="2:20" x14ac:dyDescent="0.25">
      <c r="I52">
        <v>42</v>
      </c>
      <c r="J52">
        <v>38</v>
      </c>
      <c r="K52">
        <v>48</v>
      </c>
      <c r="L52">
        <v>38</v>
      </c>
      <c r="M52">
        <v>34</v>
      </c>
      <c r="N52">
        <v>31</v>
      </c>
      <c r="O52">
        <v>32</v>
      </c>
      <c r="P52">
        <v>31</v>
      </c>
      <c r="Q52">
        <v>28</v>
      </c>
      <c r="R52">
        <v>34</v>
      </c>
      <c r="S52" s="37">
        <f t="shared" ref="S52:S76" si="2">SUM(I52:R52)</f>
        <v>356</v>
      </c>
      <c r="T52">
        <f>S51/S52</f>
        <v>0.88764044943820219</v>
      </c>
    </row>
    <row r="53" spans="2:20" x14ac:dyDescent="0.25">
      <c r="H53" t="s">
        <v>32</v>
      </c>
      <c r="I53">
        <v>4</v>
      </c>
      <c r="J53">
        <v>5</v>
      </c>
      <c r="K53">
        <v>3</v>
      </c>
      <c r="L53">
        <v>13</v>
      </c>
      <c r="M53">
        <v>6</v>
      </c>
      <c r="N53">
        <v>6</v>
      </c>
      <c r="O53">
        <v>11</v>
      </c>
      <c r="P53">
        <v>12</v>
      </c>
      <c r="Q53">
        <v>10</v>
      </c>
      <c r="R53">
        <v>2</v>
      </c>
      <c r="S53" s="37">
        <f t="shared" si="2"/>
        <v>72</v>
      </c>
    </row>
    <row r="54" spans="2:20" x14ac:dyDescent="0.25">
      <c r="I54">
        <v>42</v>
      </c>
      <c r="J54">
        <v>37</v>
      </c>
      <c r="K54">
        <v>38</v>
      </c>
      <c r="L54">
        <v>38</v>
      </c>
      <c r="M54">
        <v>34</v>
      </c>
      <c r="N54">
        <v>31</v>
      </c>
      <c r="O54">
        <v>30</v>
      </c>
      <c r="P54">
        <v>39</v>
      </c>
      <c r="Q54">
        <v>38</v>
      </c>
      <c r="R54">
        <v>35</v>
      </c>
      <c r="S54" s="37">
        <f t="shared" si="2"/>
        <v>362</v>
      </c>
      <c r="T54">
        <f>S53/S54</f>
        <v>0.19889502762430938</v>
      </c>
    </row>
    <row r="55" spans="2:20" x14ac:dyDescent="0.25">
      <c r="S55" s="37"/>
    </row>
    <row r="56" spans="2:20" x14ac:dyDescent="0.25">
      <c r="S56" s="37"/>
    </row>
    <row r="57" spans="2:20" x14ac:dyDescent="0.25">
      <c r="S57" s="37"/>
    </row>
    <row r="58" spans="2:20" x14ac:dyDescent="0.25">
      <c r="S58" s="37"/>
    </row>
    <row r="59" spans="2:20" x14ac:dyDescent="0.25">
      <c r="G59" s="20" t="s">
        <v>34</v>
      </c>
      <c r="I59" s="20" t="s">
        <v>33</v>
      </c>
      <c r="S59" s="37"/>
    </row>
    <row r="60" spans="2:20" x14ac:dyDescent="0.25">
      <c r="G60" s="21" t="s">
        <v>29</v>
      </c>
      <c r="H60" s="21"/>
      <c r="I60" s="21">
        <v>1</v>
      </c>
      <c r="J60" s="21">
        <v>2</v>
      </c>
      <c r="K60" s="21">
        <v>3</v>
      </c>
      <c r="L60" s="21">
        <v>4</v>
      </c>
      <c r="M60" s="21">
        <v>5</v>
      </c>
      <c r="N60" s="21">
        <v>6</v>
      </c>
      <c r="O60" s="21">
        <v>7</v>
      </c>
      <c r="P60" s="21">
        <v>8</v>
      </c>
      <c r="Q60" s="21">
        <v>9</v>
      </c>
      <c r="R60" s="21">
        <v>10</v>
      </c>
      <c r="S60" s="37"/>
    </row>
    <row r="61" spans="2:20" x14ac:dyDescent="0.25">
      <c r="S61" s="37"/>
    </row>
    <row r="62" spans="2:20" x14ac:dyDescent="0.25">
      <c r="H62" t="s">
        <v>31</v>
      </c>
      <c r="I62">
        <v>36</v>
      </c>
      <c r="J62">
        <v>35</v>
      </c>
      <c r="K62">
        <v>34</v>
      </c>
      <c r="L62">
        <v>33</v>
      </c>
      <c r="M62">
        <v>22</v>
      </c>
      <c r="N62">
        <v>29</v>
      </c>
      <c r="O62">
        <v>30</v>
      </c>
      <c r="P62">
        <v>39</v>
      </c>
      <c r="Q62">
        <v>38</v>
      </c>
      <c r="R62">
        <v>35</v>
      </c>
      <c r="S62" s="37">
        <f t="shared" si="2"/>
        <v>331</v>
      </c>
    </row>
    <row r="63" spans="2:20" x14ac:dyDescent="0.25">
      <c r="I63">
        <v>38</v>
      </c>
      <c r="J63">
        <v>40</v>
      </c>
      <c r="K63">
        <v>37</v>
      </c>
      <c r="L63">
        <v>37</v>
      </c>
      <c r="M63">
        <v>27</v>
      </c>
      <c r="N63">
        <v>30</v>
      </c>
      <c r="O63">
        <v>30</v>
      </c>
      <c r="P63">
        <v>39</v>
      </c>
      <c r="Q63">
        <v>38</v>
      </c>
      <c r="R63">
        <v>36</v>
      </c>
      <c r="S63" s="37">
        <f t="shared" si="2"/>
        <v>352</v>
      </c>
      <c r="T63">
        <f>S62/S63</f>
        <v>0.94034090909090906</v>
      </c>
    </row>
    <row r="64" spans="2:20" x14ac:dyDescent="0.25">
      <c r="H64" t="s">
        <v>32</v>
      </c>
      <c r="I64">
        <v>8</v>
      </c>
      <c r="J64">
        <v>7</v>
      </c>
      <c r="K64">
        <v>5</v>
      </c>
      <c r="L64">
        <v>6</v>
      </c>
      <c r="M64">
        <v>10</v>
      </c>
      <c r="N64">
        <v>6</v>
      </c>
      <c r="O64">
        <v>6</v>
      </c>
      <c r="P64">
        <v>6</v>
      </c>
      <c r="Q64">
        <v>7</v>
      </c>
      <c r="R64">
        <v>0</v>
      </c>
      <c r="S64" s="37">
        <f t="shared" si="2"/>
        <v>61</v>
      </c>
    </row>
    <row r="65" spans="5:20" x14ac:dyDescent="0.25">
      <c r="I65">
        <v>36</v>
      </c>
      <c r="J65">
        <v>48</v>
      </c>
      <c r="K65">
        <v>32</v>
      </c>
      <c r="L65">
        <v>41</v>
      </c>
      <c r="M65">
        <v>34</v>
      </c>
      <c r="N65">
        <v>26</v>
      </c>
      <c r="O65">
        <v>30</v>
      </c>
      <c r="P65">
        <v>38</v>
      </c>
      <c r="Q65">
        <v>42</v>
      </c>
      <c r="R65">
        <v>34</v>
      </c>
      <c r="S65" s="37">
        <f t="shared" si="2"/>
        <v>361</v>
      </c>
      <c r="T65">
        <f>S64/S65</f>
        <v>0.16897506925207756</v>
      </c>
    </row>
    <row r="70" spans="5:20" x14ac:dyDescent="0.25">
      <c r="G70" s="20" t="s">
        <v>62</v>
      </c>
      <c r="I70" s="20" t="s">
        <v>28</v>
      </c>
    </row>
    <row r="71" spans="5:20" x14ac:dyDescent="0.25">
      <c r="F71" t="s">
        <v>51</v>
      </c>
      <c r="G71" s="21" t="s">
        <v>29</v>
      </c>
      <c r="H71" s="21"/>
      <c r="I71" s="21">
        <v>1</v>
      </c>
      <c r="J71" s="21">
        <v>2</v>
      </c>
      <c r="K71" s="21">
        <v>3</v>
      </c>
      <c r="L71" s="21">
        <v>4</v>
      </c>
      <c r="M71" s="21">
        <v>5</v>
      </c>
      <c r="N71" s="21">
        <v>6</v>
      </c>
      <c r="O71" s="21">
        <v>7</v>
      </c>
      <c r="P71" s="21">
        <v>8</v>
      </c>
      <c r="Q71" s="21">
        <v>9</v>
      </c>
      <c r="R71" s="21">
        <v>10</v>
      </c>
    </row>
    <row r="72" spans="5:20" x14ac:dyDescent="0.25">
      <c r="E72" s="24" t="s">
        <v>31</v>
      </c>
      <c r="F72" s="26" t="e">
        <f ca="1">INDIRECT("F"&amp;MATCH("Z:",$A:$A,0)+4)+INDIRECT("G"&amp;MATCH("Z:",$A:$A,0)+7)+INDIRECT("E"&amp;MATCH("Z:",$A:$A,0)+10)</f>
        <v>#N/A</v>
      </c>
    </row>
    <row r="73" spans="5:20" x14ac:dyDescent="0.25">
      <c r="E73" s="4"/>
      <c r="F73" s="26" t="e">
        <f ca="1">INDIRECT("G"&amp;MATCH("Z:",$A:$A,0)+6)+INDIRECT("D"&amp;MATCH("Z:",$A:$A,0)+10)+INDIRECT("F"&amp;MATCH("Z:",$A:$A,0)+3)</f>
        <v>#N/A</v>
      </c>
      <c r="H73" t="s">
        <v>31</v>
      </c>
      <c r="I73">
        <v>24</v>
      </c>
      <c r="J73">
        <v>26</v>
      </c>
      <c r="K73">
        <v>36</v>
      </c>
      <c r="L73">
        <v>31</v>
      </c>
      <c r="M73">
        <v>32</v>
      </c>
      <c r="N73">
        <v>13</v>
      </c>
      <c r="O73">
        <v>32</v>
      </c>
      <c r="P73">
        <v>40</v>
      </c>
      <c r="Q73">
        <v>35</v>
      </c>
      <c r="R73">
        <v>38</v>
      </c>
      <c r="S73">
        <f t="shared" si="2"/>
        <v>307</v>
      </c>
    </row>
    <row r="74" spans="5:20" x14ac:dyDescent="0.25">
      <c r="E74" s="24" t="s">
        <v>32</v>
      </c>
      <c r="F74" s="26" t="e">
        <f ca="1">INDIRECT("E"&amp;MATCH("Z:",$A:$A,0)+4)+INDIRECT("D"&amp;MATCH("Z:",$A:$A,0)+7)+INDIRECT("E"&amp;MATCH("Z:",$A:$A,0)+7)</f>
        <v>#N/A</v>
      </c>
      <c r="I74">
        <v>28</v>
      </c>
      <c r="J74">
        <v>33</v>
      </c>
      <c r="K74">
        <v>40</v>
      </c>
      <c r="L74">
        <v>36</v>
      </c>
      <c r="M74">
        <v>37</v>
      </c>
      <c r="N74">
        <v>17</v>
      </c>
      <c r="O74">
        <v>37</v>
      </c>
      <c r="P74">
        <v>41</v>
      </c>
      <c r="Q74">
        <v>43</v>
      </c>
      <c r="R74">
        <v>40</v>
      </c>
      <c r="S74">
        <f t="shared" si="2"/>
        <v>352</v>
      </c>
      <c r="T74">
        <f>S73/S74</f>
        <v>0.87215909090909094</v>
      </c>
    </row>
    <row r="75" spans="5:20" x14ac:dyDescent="0.25">
      <c r="E75" s="4"/>
      <c r="F75" s="26" t="e">
        <f ca="1">INDIRECT("E"&amp;MATCH("Z:",$A:$A,0)+3)+INDIRECT("D"&amp;MATCH("Z:",$A:$A,0)+6)+INDIRECT("E"&amp;MATCH("Z:",$A:$A,0)+6)</f>
        <v>#N/A</v>
      </c>
      <c r="H75" t="s">
        <v>32</v>
      </c>
      <c r="I75">
        <v>7</v>
      </c>
      <c r="J75">
        <v>4</v>
      </c>
      <c r="K75">
        <v>6</v>
      </c>
      <c r="L75">
        <v>8</v>
      </c>
      <c r="M75">
        <v>6</v>
      </c>
      <c r="N75">
        <v>5</v>
      </c>
      <c r="O75">
        <v>3</v>
      </c>
      <c r="P75">
        <v>6</v>
      </c>
      <c r="Q75">
        <v>5</v>
      </c>
      <c r="R75">
        <v>5</v>
      </c>
      <c r="S75">
        <f t="shared" si="2"/>
        <v>55</v>
      </c>
    </row>
    <row r="76" spans="5:20" x14ac:dyDescent="0.25">
      <c r="I76">
        <v>33</v>
      </c>
      <c r="J76">
        <v>32</v>
      </c>
      <c r="K76">
        <v>45</v>
      </c>
      <c r="L76">
        <v>30</v>
      </c>
      <c r="M76">
        <v>38</v>
      </c>
      <c r="N76">
        <v>20</v>
      </c>
      <c r="O76">
        <v>33</v>
      </c>
      <c r="P76">
        <v>46</v>
      </c>
      <c r="Q76">
        <v>39</v>
      </c>
      <c r="R76">
        <v>46</v>
      </c>
      <c r="S76">
        <f t="shared" si="2"/>
        <v>362</v>
      </c>
      <c r="T76">
        <f>S75/S76</f>
        <v>0.15193370165745856</v>
      </c>
    </row>
    <row r="81" spans="7:20" x14ac:dyDescent="0.25">
      <c r="G81" s="20" t="s">
        <v>62</v>
      </c>
      <c r="I81" s="20" t="s">
        <v>33</v>
      </c>
    </row>
    <row r="82" spans="7:20" x14ac:dyDescent="0.25">
      <c r="G82" s="21" t="s">
        <v>29</v>
      </c>
      <c r="H82" s="21"/>
      <c r="I82" s="21">
        <v>1</v>
      </c>
      <c r="J82" s="21">
        <v>2</v>
      </c>
      <c r="K82" s="21">
        <v>3</v>
      </c>
      <c r="L82" s="21">
        <v>4</v>
      </c>
      <c r="M82" s="21">
        <v>5</v>
      </c>
      <c r="N82" s="21">
        <v>6</v>
      </c>
      <c r="O82" s="21">
        <v>7</v>
      </c>
      <c r="P82" s="21">
        <v>8</v>
      </c>
      <c r="Q82" s="21">
        <v>9</v>
      </c>
      <c r="R82" s="21">
        <v>10</v>
      </c>
    </row>
    <row r="84" spans="7:20" x14ac:dyDescent="0.25">
      <c r="H84" t="s">
        <v>31</v>
      </c>
      <c r="I84">
        <v>28</v>
      </c>
      <c r="J84">
        <v>23</v>
      </c>
      <c r="K84">
        <v>30</v>
      </c>
      <c r="L84">
        <v>32</v>
      </c>
      <c r="M84">
        <v>31</v>
      </c>
      <c r="N84">
        <v>31</v>
      </c>
      <c r="O84">
        <v>40</v>
      </c>
      <c r="P84">
        <v>34</v>
      </c>
      <c r="Q84">
        <v>36</v>
      </c>
      <c r="R84">
        <v>38</v>
      </c>
      <c r="S84">
        <f>SUM(I84:R84)</f>
        <v>323</v>
      </c>
    </row>
    <row r="85" spans="7:20" x14ac:dyDescent="0.25">
      <c r="I85">
        <v>31</v>
      </c>
      <c r="J85">
        <v>28</v>
      </c>
      <c r="K85">
        <v>33</v>
      </c>
      <c r="L85">
        <v>34</v>
      </c>
      <c r="M85">
        <v>36</v>
      </c>
      <c r="N85">
        <v>36</v>
      </c>
      <c r="O85">
        <v>44</v>
      </c>
      <c r="P85">
        <v>36</v>
      </c>
      <c r="Q85">
        <v>39</v>
      </c>
      <c r="R85">
        <v>44</v>
      </c>
      <c r="S85">
        <f t="shared" ref="S85:S87" si="3">SUM(I85:R85)</f>
        <v>361</v>
      </c>
      <c r="T85">
        <f>S84/S85</f>
        <v>0.89473684210526316</v>
      </c>
    </row>
    <row r="86" spans="7:20" x14ac:dyDescent="0.25">
      <c r="H86" t="s">
        <v>32</v>
      </c>
      <c r="I86">
        <v>9</v>
      </c>
      <c r="J86">
        <v>7</v>
      </c>
      <c r="K86">
        <v>7</v>
      </c>
      <c r="L86">
        <v>7</v>
      </c>
      <c r="M86">
        <v>5</v>
      </c>
      <c r="N86">
        <v>7</v>
      </c>
      <c r="O86">
        <v>15</v>
      </c>
      <c r="P86">
        <v>5</v>
      </c>
      <c r="Q86">
        <v>8</v>
      </c>
      <c r="R86">
        <v>7</v>
      </c>
      <c r="S86">
        <f t="shared" si="3"/>
        <v>77</v>
      </c>
    </row>
    <row r="87" spans="7:20" x14ac:dyDescent="0.25">
      <c r="I87">
        <v>33</v>
      </c>
      <c r="J87">
        <v>29</v>
      </c>
      <c r="K87">
        <v>36</v>
      </c>
      <c r="L87">
        <v>29</v>
      </c>
      <c r="M87">
        <v>29</v>
      </c>
      <c r="N87">
        <v>31</v>
      </c>
      <c r="O87">
        <v>50</v>
      </c>
      <c r="P87">
        <v>39</v>
      </c>
      <c r="Q87">
        <v>39</v>
      </c>
      <c r="R87">
        <v>39</v>
      </c>
      <c r="S87">
        <f t="shared" si="3"/>
        <v>354</v>
      </c>
      <c r="T87">
        <f>S86/S87</f>
        <v>0.2175141242937853</v>
      </c>
    </row>
    <row r="88" spans="7:20" x14ac:dyDescent="0.25">
      <c r="K88" s="30"/>
      <c r="L88" s="30"/>
      <c r="M88" s="30"/>
      <c r="N88" s="30"/>
    </row>
    <row r="89" spans="7:20" x14ac:dyDescent="0.25">
      <c r="K89" s="30"/>
      <c r="L89" s="30"/>
      <c r="M89" s="30"/>
      <c r="N89" s="30"/>
    </row>
    <row r="90" spans="7:20" x14ac:dyDescent="0.25">
      <c r="K90" s="24"/>
      <c r="N90" s="30"/>
    </row>
    <row r="91" spans="7:20" x14ac:dyDescent="0.25">
      <c r="K91" s="4"/>
      <c r="N91" s="30"/>
    </row>
    <row r="92" spans="7:20" x14ac:dyDescent="0.25">
      <c r="K92" s="24"/>
      <c r="M92" t="s">
        <v>51</v>
      </c>
      <c r="N92" s="30"/>
    </row>
    <row r="93" spans="7:20" x14ac:dyDescent="0.25">
      <c r="K93" s="4"/>
      <c r="L93" s="24" t="s">
        <v>31</v>
      </c>
      <c r="M93" s="26" t="e">
        <f ca="1">INDIRECT("F"&amp;MATCH("Z:",$A:$A,0)+4)+INDIRECT("G"&amp;MATCH("Z:",$A:$A,0)+7)+INDIRECT("E"&amp;MATCH("Z:",$A:$A,0)+10)</f>
        <v>#N/A</v>
      </c>
      <c r="N93" s="30"/>
    </row>
    <row r="94" spans="7:20" x14ac:dyDescent="0.25">
      <c r="K94" s="4"/>
      <c r="L94" s="4"/>
      <c r="M94" s="26" t="e">
        <f ca="1">INDIRECT("G"&amp;MATCH("Z:",$A:$A,0)+6)+INDIRECT("D"&amp;MATCH("Z:",$A:$A,0)+10)+INDIRECT("F"&amp;MATCH("Z:",$A:$A,0)+3)</f>
        <v>#N/A</v>
      </c>
      <c r="N94" s="30"/>
    </row>
    <row r="95" spans="7:20" x14ac:dyDescent="0.25">
      <c r="K95" s="4"/>
      <c r="L95" s="24" t="s">
        <v>32</v>
      </c>
      <c r="M95" s="26" t="e">
        <f ca="1">INDIRECT("E"&amp;MATCH("Z:",$A:$A,0)+4)+INDIRECT("D"&amp;MATCH("Z:",$A:$A,0)+7)+INDIRECT("E"&amp;MATCH("Z:",$A:$A,0)+7)</f>
        <v>#N/A</v>
      </c>
      <c r="N95" s="30"/>
    </row>
    <row r="96" spans="7:20" x14ac:dyDescent="0.25">
      <c r="K96" s="24"/>
      <c r="L96" s="4"/>
      <c r="M96" s="26" t="e">
        <f ca="1">INDIRECT("E"&amp;MATCH("Z:",$A:$A,0)+3)+INDIRECT("D"&amp;MATCH("Z:",$A:$A,0)+6)+INDIRECT("E"&amp;MATCH("Z:",$A:$A,0)+6)</f>
        <v>#N/A</v>
      </c>
      <c r="N96" s="30"/>
    </row>
    <row r="97" spans="11:14" x14ac:dyDescent="0.25">
      <c r="K97" s="4"/>
      <c r="N97" s="30"/>
    </row>
    <row r="98" spans="11:14" x14ac:dyDescent="0.25">
      <c r="K98" s="24"/>
      <c r="N98" s="30"/>
    </row>
    <row r="99" spans="11:14" x14ac:dyDescent="0.25">
      <c r="K99" s="4"/>
      <c r="N99" s="30"/>
    </row>
    <row r="100" spans="11:14" x14ac:dyDescent="0.25">
      <c r="K100" s="30"/>
      <c r="N100" s="30"/>
    </row>
    <row r="101" spans="11:14" x14ac:dyDescent="0.25">
      <c r="K101" s="30"/>
      <c r="N101" s="30"/>
    </row>
    <row r="102" spans="11:14" x14ac:dyDescent="0.25">
      <c r="K102" s="30"/>
      <c r="N102" s="30"/>
    </row>
  </sheetData>
  <pageMargins left="0.7" right="0.7" top="0.75" bottom="0.75" header="0.3" footer="0.3"/>
  <pageSetup paperSize="0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J49"/>
  <sheetViews>
    <sheetView tabSelected="1" zoomScale="90" zoomScaleNormal="90" workbookViewId="0">
      <selection activeCell="AF11" sqref="AF11"/>
    </sheetView>
  </sheetViews>
  <sheetFormatPr baseColWidth="10" defaultRowHeight="15" x14ac:dyDescent="0.25"/>
  <cols>
    <col min="1" max="1" width="11.42578125" style="36"/>
    <col min="2" max="2" width="12.5703125" style="36" customWidth="1"/>
    <col min="3" max="16384" width="11.42578125" style="36"/>
  </cols>
  <sheetData>
    <row r="1" spans="2:36" x14ac:dyDescent="0.25">
      <c r="B1" s="38" t="s">
        <v>75</v>
      </c>
    </row>
    <row r="2" spans="2:36" x14ac:dyDescent="0.25">
      <c r="C2" s="36" t="s">
        <v>72</v>
      </c>
      <c r="AA2" s="36" t="s">
        <v>73</v>
      </c>
    </row>
    <row r="3" spans="2:36" x14ac:dyDescent="0.25">
      <c r="B3" s="38" t="s">
        <v>68</v>
      </c>
    </row>
    <row r="4" spans="2:36" x14ac:dyDescent="0.25">
      <c r="C4" s="39" t="s">
        <v>69</v>
      </c>
      <c r="D4" s="39">
        <v>20</v>
      </c>
      <c r="E4" s="39">
        <v>3</v>
      </c>
      <c r="F4" s="39">
        <v>33</v>
      </c>
      <c r="G4" s="39">
        <v>5</v>
      </c>
      <c r="K4" s="39" t="s">
        <v>76</v>
      </c>
      <c r="L4" s="36">
        <v>1.0089699999999999</v>
      </c>
      <c r="AA4" s="39" t="s">
        <v>69</v>
      </c>
      <c r="AB4" s="39">
        <v>20</v>
      </c>
      <c r="AC4" s="39">
        <v>3</v>
      </c>
      <c r="AD4" s="39">
        <v>33</v>
      </c>
      <c r="AE4" s="39">
        <v>5</v>
      </c>
      <c r="AI4" s="39" t="s">
        <v>76</v>
      </c>
      <c r="AJ4" s="36">
        <v>0.62856000000000001</v>
      </c>
    </row>
    <row r="5" spans="2:36" x14ac:dyDescent="0.25">
      <c r="C5" s="40"/>
      <c r="K5" s="39" t="s">
        <v>77</v>
      </c>
      <c r="L5" s="36">
        <v>-1.311E-2</v>
      </c>
      <c r="AA5" s="40"/>
      <c r="AI5" s="39" t="s">
        <v>77</v>
      </c>
      <c r="AJ5" s="36">
        <v>-0.41703000000000001</v>
      </c>
    </row>
    <row r="6" spans="2:36" x14ac:dyDescent="0.25">
      <c r="C6" s="39" t="s">
        <v>70</v>
      </c>
      <c r="D6" s="36">
        <v>408</v>
      </c>
      <c r="E6" s="36">
        <v>321</v>
      </c>
      <c r="F6" s="36">
        <v>283</v>
      </c>
      <c r="G6" s="36">
        <v>311</v>
      </c>
      <c r="H6" s="38">
        <f>SUM(D6:G6)</f>
        <v>1323</v>
      </c>
      <c r="K6" s="39" t="s">
        <v>78</v>
      </c>
      <c r="L6" s="36">
        <v>2.0441699999999998</v>
      </c>
      <c r="AA6" s="39" t="s">
        <v>70</v>
      </c>
      <c r="AB6" s="36">
        <v>463</v>
      </c>
      <c r="AC6" s="36">
        <v>389</v>
      </c>
      <c r="AD6" s="36">
        <v>316</v>
      </c>
      <c r="AE6" s="36">
        <v>319</v>
      </c>
      <c r="AF6" s="36">
        <f>SUM(AB6:AE6)</f>
        <v>1487</v>
      </c>
      <c r="AI6" s="39" t="s">
        <v>78</v>
      </c>
      <c r="AJ6" s="36">
        <v>2.09118</v>
      </c>
    </row>
    <row r="7" spans="2:36" x14ac:dyDescent="0.25">
      <c r="C7" s="39"/>
      <c r="D7" s="36">
        <v>441</v>
      </c>
      <c r="E7" s="36">
        <v>367</v>
      </c>
      <c r="F7" s="36">
        <v>371</v>
      </c>
      <c r="G7" s="36">
        <v>378</v>
      </c>
      <c r="H7" s="38">
        <f t="shared" ref="H7:H9" si="0">SUM(D7:G7)</f>
        <v>1557</v>
      </c>
      <c r="I7" s="36">
        <f>H6/H7</f>
        <v>0.8497109826589595</v>
      </c>
      <c r="K7" s="39" t="s">
        <v>79</v>
      </c>
      <c r="L7" s="36">
        <v>0.85</v>
      </c>
      <c r="AA7" s="39"/>
      <c r="AB7" s="36">
        <v>480</v>
      </c>
      <c r="AC7" s="36">
        <v>416</v>
      </c>
      <c r="AD7" s="36">
        <v>354</v>
      </c>
      <c r="AE7" s="36">
        <v>352</v>
      </c>
      <c r="AF7" s="36">
        <f t="shared" ref="AF7:AF38" si="1">SUM(AB7:AE7)</f>
        <v>1602</v>
      </c>
      <c r="AG7" s="36">
        <f>AF6/AF7</f>
        <v>0.92821473158551815</v>
      </c>
      <c r="AI7" s="39" t="s">
        <v>79</v>
      </c>
      <c r="AJ7" s="36">
        <v>0.92800000000000005</v>
      </c>
    </row>
    <row r="8" spans="2:36" x14ac:dyDescent="0.25">
      <c r="C8" s="39" t="s">
        <v>71</v>
      </c>
      <c r="D8" s="36">
        <v>44</v>
      </c>
      <c r="E8" s="36">
        <v>21</v>
      </c>
      <c r="F8" s="36">
        <v>93</v>
      </c>
      <c r="G8" s="36">
        <v>83</v>
      </c>
      <c r="H8" s="38">
        <f t="shared" si="0"/>
        <v>241</v>
      </c>
      <c r="K8" s="39" t="s">
        <v>80</v>
      </c>
      <c r="L8" s="36">
        <v>0.156</v>
      </c>
      <c r="AA8" s="39" t="s">
        <v>71</v>
      </c>
      <c r="AB8" s="36">
        <v>118</v>
      </c>
      <c r="AC8" s="36">
        <v>43</v>
      </c>
      <c r="AD8" s="36">
        <v>143</v>
      </c>
      <c r="AE8" s="36">
        <v>107</v>
      </c>
      <c r="AF8" s="36">
        <f t="shared" si="1"/>
        <v>411</v>
      </c>
      <c r="AI8" s="39" t="s">
        <v>80</v>
      </c>
      <c r="AJ8" s="36">
        <v>0.26500000000000001</v>
      </c>
    </row>
    <row r="9" spans="2:36" x14ac:dyDescent="0.25">
      <c r="C9" s="39"/>
      <c r="D9" s="36">
        <v>462</v>
      </c>
      <c r="E9" s="36">
        <v>366</v>
      </c>
      <c r="F9" s="36">
        <v>354</v>
      </c>
      <c r="G9" s="36">
        <v>358</v>
      </c>
      <c r="H9" s="38">
        <f t="shared" si="0"/>
        <v>1540</v>
      </c>
      <c r="I9" s="36">
        <f>H8/H9</f>
        <v>0.15649350649350649</v>
      </c>
      <c r="K9" s="39" t="s">
        <v>81</v>
      </c>
      <c r="L9" s="36">
        <v>0.97355999999999998</v>
      </c>
      <c r="AA9" s="39"/>
      <c r="AB9" s="36">
        <v>451</v>
      </c>
      <c r="AC9" s="36">
        <v>389</v>
      </c>
      <c r="AD9" s="36">
        <v>358</v>
      </c>
      <c r="AE9" s="36">
        <v>354</v>
      </c>
      <c r="AF9" s="36">
        <f t="shared" si="1"/>
        <v>1552</v>
      </c>
      <c r="AG9" s="36">
        <f>AF8/AF9</f>
        <v>0.26481958762886598</v>
      </c>
      <c r="AI9" s="39" t="s">
        <v>81</v>
      </c>
      <c r="AJ9" s="36">
        <v>0.41808000000000001</v>
      </c>
    </row>
    <row r="10" spans="2:36" x14ac:dyDescent="0.25">
      <c r="H10" s="38"/>
    </row>
    <row r="11" spans="2:36" x14ac:dyDescent="0.25">
      <c r="H11" s="38"/>
    </row>
    <row r="12" spans="2:36" x14ac:dyDescent="0.25">
      <c r="AA12" s="36" t="s">
        <v>73</v>
      </c>
    </row>
    <row r="14" spans="2:36" x14ac:dyDescent="0.25">
      <c r="AA14" s="39" t="s">
        <v>69</v>
      </c>
      <c r="AB14" s="39">
        <v>20</v>
      </c>
      <c r="AC14" s="39">
        <v>3</v>
      </c>
      <c r="AD14" s="39">
        <v>33</v>
      </c>
      <c r="AE14" s="39">
        <v>5</v>
      </c>
    </row>
    <row r="15" spans="2:36" x14ac:dyDescent="0.25">
      <c r="AA15" s="40"/>
      <c r="AI15" s="39" t="s">
        <v>76</v>
      </c>
      <c r="AJ15" s="36">
        <v>0.94074999999999998</v>
      </c>
    </row>
    <row r="16" spans="2:36" x14ac:dyDescent="0.25">
      <c r="AA16" s="39" t="s">
        <v>70</v>
      </c>
      <c r="AB16" s="36">
        <v>399</v>
      </c>
      <c r="AC16" s="36">
        <v>417</v>
      </c>
      <c r="AD16" s="36">
        <v>300</v>
      </c>
      <c r="AE16" s="36">
        <v>331</v>
      </c>
      <c r="AF16" s="36">
        <f t="shared" si="1"/>
        <v>1447</v>
      </c>
      <c r="AI16" s="39" t="s">
        <v>77</v>
      </c>
      <c r="AJ16" s="36">
        <v>-0.23979</v>
      </c>
    </row>
    <row r="17" spans="2:36" x14ac:dyDescent="0.25">
      <c r="AA17" s="39"/>
      <c r="AB17" s="36">
        <v>407</v>
      </c>
      <c r="AC17" s="36">
        <v>452</v>
      </c>
      <c r="AD17" s="36">
        <v>358</v>
      </c>
      <c r="AE17" s="36">
        <v>352</v>
      </c>
      <c r="AF17" s="36">
        <f t="shared" si="1"/>
        <v>1569</v>
      </c>
      <c r="AG17" s="36">
        <f>AF16/AF17</f>
        <v>0.92224346717654559</v>
      </c>
      <c r="AI17" s="39" t="s">
        <v>78</v>
      </c>
      <c r="AJ17" s="36">
        <v>2.3610699999999998</v>
      </c>
    </row>
    <row r="18" spans="2:36" x14ac:dyDescent="0.25">
      <c r="AA18" s="39" t="s">
        <v>71</v>
      </c>
      <c r="AB18" s="36">
        <v>72</v>
      </c>
      <c r="AC18" s="36">
        <v>25</v>
      </c>
      <c r="AD18" s="36">
        <v>116</v>
      </c>
      <c r="AE18" s="36">
        <v>61</v>
      </c>
      <c r="AF18" s="36">
        <f t="shared" si="1"/>
        <v>274</v>
      </c>
      <c r="AI18" s="39" t="s">
        <v>79</v>
      </c>
      <c r="AJ18" s="36">
        <v>0.92200000000000004</v>
      </c>
    </row>
    <row r="19" spans="2:36" x14ac:dyDescent="0.25">
      <c r="AA19" s="39"/>
      <c r="AB19" s="36">
        <v>410</v>
      </c>
      <c r="AC19" s="36">
        <v>453</v>
      </c>
      <c r="AD19" s="36">
        <v>356</v>
      </c>
      <c r="AE19" s="36">
        <v>361</v>
      </c>
      <c r="AF19" s="36">
        <f t="shared" si="1"/>
        <v>1580</v>
      </c>
      <c r="AG19" s="36">
        <f>AF18/AF19</f>
        <v>0.17341772151898735</v>
      </c>
      <c r="AI19" s="39" t="s">
        <v>80</v>
      </c>
      <c r="AJ19" s="36">
        <v>0.17299999999999999</v>
      </c>
    </row>
    <row r="20" spans="2:36" x14ac:dyDescent="0.25">
      <c r="AI20" s="39" t="s">
        <v>81</v>
      </c>
      <c r="AJ20" s="36">
        <v>0.56769999999999998</v>
      </c>
    </row>
    <row r="21" spans="2:36" x14ac:dyDescent="0.25">
      <c r="C21" s="36" t="s">
        <v>72</v>
      </c>
      <c r="H21" s="38"/>
    </row>
    <row r="22" spans="2:36" x14ac:dyDescent="0.25">
      <c r="B22" s="38" t="s">
        <v>67</v>
      </c>
      <c r="H22" s="38"/>
      <c r="AA22" s="36" t="s">
        <v>73</v>
      </c>
    </row>
    <row r="23" spans="2:36" x14ac:dyDescent="0.25">
      <c r="C23" s="39" t="s">
        <v>69</v>
      </c>
      <c r="D23" s="39">
        <v>20</v>
      </c>
      <c r="E23" s="39">
        <v>3</v>
      </c>
      <c r="F23" s="39">
        <v>33</v>
      </c>
      <c r="G23" s="39">
        <v>5</v>
      </c>
      <c r="H23" s="38"/>
    </row>
    <row r="24" spans="2:36" x14ac:dyDescent="0.25">
      <c r="C24" s="40"/>
      <c r="H24" s="38"/>
      <c r="K24" s="39" t="s">
        <v>76</v>
      </c>
      <c r="L24" s="36">
        <v>1.1400399999999999</v>
      </c>
      <c r="AA24" s="39" t="s">
        <v>69</v>
      </c>
      <c r="AB24" s="39">
        <v>20</v>
      </c>
      <c r="AC24" s="39">
        <v>3</v>
      </c>
      <c r="AD24" s="39">
        <v>33</v>
      </c>
      <c r="AE24" s="39">
        <v>5</v>
      </c>
    </row>
    <row r="25" spans="2:36" x14ac:dyDescent="0.25">
      <c r="C25" s="39" t="s">
        <v>70</v>
      </c>
      <c r="D25" s="36">
        <v>341</v>
      </c>
      <c r="E25" s="36">
        <v>455</v>
      </c>
      <c r="F25" s="36">
        <v>341</v>
      </c>
      <c r="G25" s="36">
        <v>316</v>
      </c>
      <c r="H25" s="38">
        <f>SUM(D25:G25)</f>
        <v>1453</v>
      </c>
      <c r="K25" s="39" t="s">
        <v>77</v>
      </c>
      <c r="L25" s="36">
        <v>-0.16209999999999999</v>
      </c>
      <c r="AA25" s="40"/>
      <c r="AI25" s="39" t="s">
        <v>76</v>
      </c>
      <c r="AJ25" s="36">
        <v>0.79068000000000005</v>
      </c>
    </row>
    <row r="26" spans="2:36" x14ac:dyDescent="0.25">
      <c r="C26" s="39"/>
      <c r="D26" s="36">
        <v>358</v>
      </c>
      <c r="E26" s="36">
        <v>473</v>
      </c>
      <c r="F26" s="36">
        <v>378</v>
      </c>
      <c r="G26" s="36">
        <v>356</v>
      </c>
      <c r="H26" s="38">
        <f t="shared" ref="H26:H28" si="2">SUM(D26:G26)</f>
        <v>1565</v>
      </c>
      <c r="I26" s="36">
        <f>H25/H26</f>
        <v>0.92843450479233225</v>
      </c>
      <c r="K26" s="39" t="s">
        <v>78</v>
      </c>
      <c r="L26" s="36">
        <v>2.6042700000000001</v>
      </c>
      <c r="AA26" s="39" t="s">
        <v>70</v>
      </c>
      <c r="AB26" s="36">
        <v>335</v>
      </c>
      <c r="AC26" s="36">
        <v>302</v>
      </c>
      <c r="AD26" s="36">
        <v>410</v>
      </c>
      <c r="AE26" s="36">
        <v>323</v>
      </c>
      <c r="AF26" s="36">
        <f t="shared" si="1"/>
        <v>1370</v>
      </c>
      <c r="AI26" s="39" t="s">
        <v>77</v>
      </c>
      <c r="AJ26" s="36">
        <v>-0.17809</v>
      </c>
    </row>
    <row r="27" spans="2:36" x14ac:dyDescent="0.25">
      <c r="C27" s="39" t="s">
        <v>71</v>
      </c>
      <c r="D27" s="36">
        <v>48</v>
      </c>
      <c r="E27" s="36">
        <v>29</v>
      </c>
      <c r="F27" s="36">
        <v>52</v>
      </c>
      <c r="G27" s="36">
        <v>72</v>
      </c>
      <c r="H27" s="38">
        <f t="shared" si="2"/>
        <v>201</v>
      </c>
      <c r="K27" s="39" t="s">
        <v>79</v>
      </c>
      <c r="L27" s="36">
        <v>0.92800000000000005</v>
      </c>
      <c r="AA27" s="39"/>
      <c r="AB27" s="36">
        <v>364</v>
      </c>
      <c r="AC27" s="36">
        <v>343</v>
      </c>
      <c r="AD27" s="36">
        <v>499</v>
      </c>
      <c r="AE27" s="36">
        <v>361</v>
      </c>
      <c r="AF27" s="36">
        <f t="shared" si="1"/>
        <v>1567</v>
      </c>
      <c r="AG27" s="36">
        <f>AF26/AF27</f>
        <v>0.8742820676451819</v>
      </c>
      <c r="AI27" s="39" t="s">
        <v>78</v>
      </c>
      <c r="AJ27" s="36">
        <v>1.9375500000000001</v>
      </c>
    </row>
    <row r="28" spans="2:36" x14ac:dyDescent="0.25">
      <c r="C28" s="39"/>
      <c r="D28" s="36">
        <v>356</v>
      </c>
      <c r="E28" s="36">
        <v>488</v>
      </c>
      <c r="F28" s="36">
        <v>375</v>
      </c>
      <c r="G28" s="36">
        <v>362</v>
      </c>
      <c r="H28" s="38">
        <f t="shared" si="2"/>
        <v>1581</v>
      </c>
      <c r="I28" s="36">
        <f>H27/H28</f>
        <v>0.12713472485768501</v>
      </c>
      <c r="K28" s="39" t="s">
        <v>80</v>
      </c>
      <c r="L28" s="36">
        <v>0.127</v>
      </c>
      <c r="AA28" s="39" t="s">
        <v>71</v>
      </c>
      <c r="AB28" s="36">
        <v>41</v>
      </c>
      <c r="AC28" s="36">
        <v>37</v>
      </c>
      <c r="AD28" s="36">
        <v>175</v>
      </c>
      <c r="AE28" s="36">
        <v>77</v>
      </c>
      <c r="AF28" s="36">
        <f t="shared" si="1"/>
        <v>330</v>
      </c>
      <c r="AI28" s="39" t="s">
        <v>79</v>
      </c>
      <c r="AJ28" s="36">
        <v>0.874</v>
      </c>
    </row>
    <row r="29" spans="2:36" x14ac:dyDescent="0.25">
      <c r="H29" s="38"/>
      <c r="K29" s="39" t="s">
        <v>81</v>
      </c>
      <c r="L29" s="36">
        <v>0.65564</v>
      </c>
      <c r="AA29" s="39"/>
      <c r="AB29" s="36">
        <v>347</v>
      </c>
      <c r="AC29" s="36">
        <v>340</v>
      </c>
      <c r="AD29" s="36">
        <v>497</v>
      </c>
      <c r="AE29" s="36">
        <v>354</v>
      </c>
      <c r="AF29" s="36">
        <f t="shared" si="1"/>
        <v>1538</v>
      </c>
      <c r="AG29" s="36">
        <f>AF28/AF29</f>
        <v>0.21456436931079323</v>
      </c>
      <c r="AI29" s="39" t="s">
        <v>80</v>
      </c>
      <c r="AJ29" s="36">
        <v>0.215</v>
      </c>
    </row>
    <row r="30" spans="2:36" x14ac:dyDescent="0.25">
      <c r="H30" s="38"/>
      <c r="AI30" s="39" t="s">
        <v>81</v>
      </c>
      <c r="AJ30" s="36">
        <v>0.70818000000000003</v>
      </c>
    </row>
    <row r="31" spans="2:36" x14ac:dyDescent="0.25">
      <c r="C31" s="36" t="s">
        <v>72</v>
      </c>
      <c r="H31" s="38"/>
    </row>
    <row r="32" spans="2:36" x14ac:dyDescent="0.25">
      <c r="B32" s="38" t="s">
        <v>62</v>
      </c>
      <c r="H32" s="38"/>
      <c r="AA32" s="36" t="s">
        <v>73</v>
      </c>
    </row>
    <row r="33" spans="2:36" x14ac:dyDescent="0.25">
      <c r="C33" s="39" t="s">
        <v>69</v>
      </c>
      <c r="D33" s="39">
        <v>20</v>
      </c>
      <c r="E33" s="39">
        <v>3</v>
      </c>
      <c r="F33" s="39">
        <v>33</v>
      </c>
      <c r="G33" s="39">
        <v>5</v>
      </c>
      <c r="H33" s="38"/>
    </row>
    <row r="34" spans="2:36" x14ac:dyDescent="0.25">
      <c r="C34" s="40"/>
      <c r="H34" s="38"/>
      <c r="K34" s="39" t="s">
        <v>76</v>
      </c>
      <c r="L34" s="36">
        <v>1.23342</v>
      </c>
      <c r="AA34" s="39" t="s">
        <v>69</v>
      </c>
      <c r="AB34" s="39">
        <v>20</v>
      </c>
      <c r="AC34" s="39">
        <v>3</v>
      </c>
      <c r="AD34" s="39">
        <v>33</v>
      </c>
      <c r="AE34" s="39">
        <v>5</v>
      </c>
    </row>
    <row r="35" spans="2:36" x14ac:dyDescent="0.25">
      <c r="C35" s="39" t="s">
        <v>70</v>
      </c>
      <c r="D35" s="36">
        <v>321</v>
      </c>
      <c r="E35" s="36">
        <v>334</v>
      </c>
      <c r="F35" s="36">
        <v>414</v>
      </c>
      <c r="G35" s="36">
        <v>307</v>
      </c>
      <c r="H35" s="38">
        <f>SUM(D35:G35)</f>
        <v>1376</v>
      </c>
      <c r="K35" s="39" t="s">
        <v>77</v>
      </c>
      <c r="L35" s="36">
        <v>-7.5700000000000003E-3</v>
      </c>
      <c r="AA35" s="40"/>
      <c r="AI35" s="39" t="s">
        <v>76</v>
      </c>
      <c r="AJ35" s="36">
        <v>1.0691900000000001</v>
      </c>
    </row>
    <row r="36" spans="2:36" x14ac:dyDescent="0.25">
      <c r="C36" s="39"/>
      <c r="D36" s="36">
        <v>339</v>
      </c>
      <c r="E36" s="36">
        <v>352</v>
      </c>
      <c r="F36" s="36">
        <v>496</v>
      </c>
      <c r="G36" s="36">
        <v>352</v>
      </c>
      <c r="H36" s="38">
        <f t="shared" ref="H36:H38" si="3">SUM(D36:G36)</f>
        <v>1539</v>
      </c>
      <c r="I36" s="36">
        <f>H35/H36</f>
        <v>0.89408706952566597</v>
      </c>
      <c r="K36" s="39" t="s">
        <v>78</v>
      </c>
      <c r="L36" s="36">
        <v>2.4819800000000001</v>
      </c>
      <c r="AA36" s="39" t="s">
        <v>70</v>
      </c>
      <c r="AB36" s="36">
        <v>352</v>
      </c>
      <c r="AC36" s="36">
        <v>360</v>
      </c>
      <c r="AD36" s="36">
        <v>301</v>
      </c>
      <c r="AE36" s="36">
        <v>406</v>
      </c>
      <c r="AF36" s="36">
        <f t="shared" si="1"/>
        <v>1419</v>
      </c>
      <c r="AI36" s="39" t="s">
        <v>77</v>
      </c>
      <c r="AJ36" s="36">
        <v>-8.9829999999999993E-2</v>
      </c>
    </row>
    <row r="37" spans="2:36" x14ac:dyDescent="0.25">
      <c r="C37" s="39" t="s">
        <v>71</v>
      </c>
      <c r="D37" s="36">
        <v>34</v>
      </c>
      <c r="E37" s="36">
        <v>30</v>
      </c>
      <c r="F37" s="36">
        <v>52</v>
      </c>
      <c r="G37" s="36">
        <v>55</v>
      </c>
      <c r="H37" s="38">
        <f t="shared" si="3"/>
        <v>171</v>
      </c>
      <c r="K37" s="39" t="s">
        <v>79</v>
      </c>
      <c r="L37" s="36">
        <v>0.89400000000000002</v>
      </c>
      <c r="AA37" s="39"/>
      <c r="AB37" s="36">
        <v>387</v>
      </c>
      <c r="AC37" s="36">
        <v>374</v>
      </c>
      <c r="AD37" s="36">
        <v>360</v>
      </c>
      <c r="AE37" s="36">
        <v>466</v>
      </c>
      <c r="AF37" s="36">
        <f t="shared" si="1"/>
        <v>1587</v>
      </c>
      <c r="AG37" s="36">
        <f>AF36/AF37</f>
        <v>0.89413988657844989</v>
      </c>
      <c r="AI37" s="39" t="s">
        <v>78</v>
      </c>
      <c r="AJ37" s="36">
        <v>2.3180399999999999</v>
      </c>
    </row>
    <row r="38" spans="2:36" x14ac:dyDescent="0.25">
      <c r="C38" s="39"/>
      <c r="D38" s="36">
        <v>357</v>
      </c>
      <c r="E38" s="36">
        <v>364</v>
      </c>
      <c r="F38" s="36">
        <v>490</v>
      </c>
      <c r="G38" s="36">
        <v>362</v>
      </c>
      <c r="H38" s="38">
        <f t="shared" si="3"/>
        <v>1573</v>
      </c>
      <c r="I38" s="36">
        <f>H37/H38</f>
        <v>0.10870947234583599</v>
      </c>
      <c r="K38" s="39" t="s">
        <v>80</v>
      </c>
      <c r="L38" s="36">
        <v>0.109</v>
      </c>
      <c r="AA38" s="39" t="s">
        <v>71</v>
      </c>
      <c r="AB38" s="36">
        <v>41</v>
      </c>
      <c r="AC38" s="36">
        <v>20</v>
      </c>
      <c r="AD38" s="36">
        <v>57</v>
      </c>
      <c r="AE38" s="36">
        <v>105</v>
      </c>
      <c r="AF38" s="36">
        <f t="shared" si="1"/>
        <v>223</v>
      </c>
      <c r="AI38" s="39" t="s">
        <v>79</v>
      </c>
      <c r="AJ38" s="36">
        <v>0.89400000000000002</v>
      </c>
    </row>
    <row r="39" spans="2:36" x14ac:dyDescent="0.25">
      <c r="H39" s="38"/>
      <c r="K39" s="39" t="s">
        <v>81</v>
      </c>
      <c r="L39" s="36">
        <v>0.98138999999999998</v>
      </c>
      <c r="AA39" s="39"/>
      <c r="AB39" s="36">
        <v>381</v>
      </c>
      <c r="AC39" s="36">
        <v>378</v>
      </c>
      <c r="AD39" s="36">
        <v>358</v>
      </c>
      <c r="AE39" s="36">
        <v>448</v>
      </c>
      <c r="AF39" s="36">
        <f>SUM(AB39:AE39)</f>
        <v>1565</v>
      </c>
      <c r="AG39" s="36">
        <f>AF38/AF39</f>
        <v>0.14249201277955273</v>
      </c>
      <c r="AI39" s="39" t="s">
        <v>80</v>
      </c>
      <c r="AJ39" s="36">
        <v>0.14199999999999999</v>
      </c>
    </row>
    <row r="40" spans="2:36" x14ac:dyDescent="0.25">
      <c r="H40" s="38"/>
      <c r="AI40" s="39" t="s">
        <v>81</v>
      </c>
      <c r="AJ40" s="36">
        <v>0.81201999999999996</v>
      </c>
    </row>
    <row r="41" spans="2:36" x14ac:dyDescent="0.25">
      <c r="C41" s="36" t="s">
        <v>72</v>
      </c>
      <c r="H41" s="38"/>
    </row>
    <row r="42" spans="2:36" x14ac:dyDescent="0.25">
      <c r="B42" s="38" t="s">
        <v>74</v>
      </c>
      <c r="H42" s="38"/>
    </row>
    <row r="43" spans="2:36" x14ac:dyDescent="0.25">
      <c r="C43" s="39" t="s">
        <v>69</v>
      </c>
      <c r="D43" s="39">
        <v>20</v>
      </c>
      <c r="E43" s="39">
        <v>3</v>
      </c>
      <c r="F43" s="39">
        <v>33</v>
      </c>
      <c r="G43" s="39">
        <v>5</v>
      </c>
      <c r="H43" s="38"/>
    </row>
    <row r="44" spans="2:36" x14ac:dyDescent="0.25">
      <c r="C44" s="40"/>
      <c r="H44" s="38"/>
      <c r="K44" s="39" t="s">
        <v>76</v>
      </c>
      <c r="L44" s="36">
        <v>1.5073799999999999</v>
      </c>
    </row>
    <row r="45" spans="2:36" x14ac:dyDescent="0.25">
      <c r="C45" s="39" t="s">
        <v>70</v>
      </c>
      <c r="D45" s="36">
        <v>337</v>
      </c>
      <c r="E45" s="36">
        <v>350</v>
      </c>
      <c r="F45" s="36">
        <v>307</v>
      </c>
      <c r="G45" s="36">
        <v>354</v>
      </c>
      <c r="H45" s="38">
        <f>SUM(D45:G45)</f>
        <v>1348</v>
      </c>
      <c r="K45" s="39" t="s">
        <v>77</v>
      </c>
      <c r="L45" s="36">
        <v>0.18726000000000001</v>
      </c>
    </row>
    <row r="46" spans="2:36" x14ac:dyDescent="0.25">
      <c r="C46" s="39"/>
      <c r="D46" s="36">
        <v>361</v>
      </c>
      <c r="E46" s="36">
        <v>361</v>
      </c>
      <c r="F46" s="36">
        <v>377</v>
      </c>
      <c r="G46" s="36">
        <v>448</v>
      </c>
      <c r="H46" s="38">
        <f t="shared" ref="H46:H48" si="4">SUM(D46:G46)</f>
        <v>1547</v>
      </c>
      <c r="I46" s="36">
        <f>H45/H46</f>
        <v>0.87136393018745961</v>
      </c>
      <c r="K46" s="39" t="s">
        <v>78</v>
      </c>
      <c r="L46" s="36">
        <v>2.6402399999999999</v>
      </c>
    </row>
    <row r="47" spans="2:36" x14ac:dyDescent="0.25">
      <c r="C47" s="39" t="s">
        <v>71</v>
      </c>
      <c r="D47" s="36">
        <v>23</v>
      </c>
      <c r="E47" s="36">
        <v>14</v>
      </c>
      <c r="F47" s="36">
        <v>45</v>
      </c>
      <c r="G47" s="36">
        <v>21</v>
      </c>
      <c r="H47" s="38">
        <f t="shared" si="4"/>
        <v>103</v>
      </c>
      <c r="K47" s="39" t="s">
        <v>79</v>
      </c>
      <c r="L47" s="36">
        <v>0.871</v>
      </c>
    </row>
    <row r="48" spans="2:36" x14ac:dyDescent="0.25">
      <c r="C48" s="39"/>
      <c r="D48" s="36">
        <v>364</v>
      </c>
      <c r="E48" s="36">
        <v>378</v>
      </c>
      <c r="F48" s="36">
        <v>365</v>
      </c>
      <c r="G48" s="36">
        <v>457</v>
      </c>
      <c r="H48" s="38">
        <f t="shared" si="4"/>
        <v>1564</v>
      </c>
      <c r="I48" s="36">
        <f>H47/H48</f>
        <v>6.5856777493606133E-2</v>
      </c>
      <c r="K48" s="39" t="s">
        <v>80</v>
      </c>
      <c r="L48" s="36">
        <v>6.6000000000000003E-2</v>
      </c>
    </row>
    <row r="49" spans="11:12" x14ac:dyDescent="0.25">
      <c r="K49" s="39" t="s">
        <v>81</v>
      </c>
      <c r="L49" s="36">
        <v>1.6395299999999999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Data S_20 (1p-4p) Short-Signal</vt:lpstr>
      <vt:lpstr>Graph S_20 (1p-4p) Short-Signal</vt:lpstr>
      <vt:lpstr>Graph S_20 (1p-4p) Large-Signal</vt:lpstr>
      <vt:lpstr>Data S_20 (1p-4p) Large-Signal</vt:lpstr>
      <vt:lpstr>S_03 (1p-4p) Large-Signal</vt:lpstr>
      <vt:lpstr>S_33 (1p-4p) Large-Signal</vt:lpstr>
      <vt:lpstr>S_05 (1p-4p) Large-Signal</vt:lpstr>
      <vt:lpstr>Promedios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Chostar07</dc:creator>
  <cp:lastModifiedBy>Alejandro</cp:lastModifiedBy>
  <dcterms:created xsi:type="dcterms:W3CDTF">2017-09-16T21:48:39Z</dcterms:created>
  <dcterms:modified xsi:type="dcterms:W3CDTF">2017-09-29T17:08:17Z</dcterms:modified>
</cp:coreProperties>
</file>