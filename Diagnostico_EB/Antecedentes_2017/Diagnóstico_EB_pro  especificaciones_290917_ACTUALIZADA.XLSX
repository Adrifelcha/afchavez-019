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velar\Desktop\ACTUALIZACIÓN ESPECIFICACIONES 260917\Reunión_280917_VF\"/>
    </mc:Choice>
  </mc:AlternateContent>
  <bookViews>
    <workbookView xWindow="0" yWindow="0" windowWidth="28950" windowHeight="12540" tabRatio="901"/>
  </bookViews>
  <sheets>
    <sheet name="Promoción_EB " sheetId="22" r:id="rId1"/>
    <sheet name="EB_DES_ATP" sheetId="6" state="hidden" r:id="rId2"/>
    <sheet name="Ingreso_EMS" sheetId="14" state="hidden" r:id="rId3"/>
    <sheet name="Habs.Docentes" sheetId="18" state="hidden" r:id="rId4"/>
    <sheet name="Habs.Docentes (2)" sheetId="16" state="hidden" r:id="rId5"/>
    <sheet name="Plan de clase" sheetId="19" state="hidden" r:id="rId6"/>
    <sheet name="Plan de clase (2)" sheetId="21" state="hidden" r:id="rId7"/>
    <sheet name="Promoción_EMS" sheetId="13" state="hidden" r:id="rId8"/>
    <sheet name="Desempeño_EMS" sheetId="15" state="hidden" r:id="rId9"/>
    <sheet name="Desempeño M1" sheetId="3" state="hidden" r:id="rId10"/>
    <sheet name="RUB_DESM1" sheetId="4" state="hidden" r:id="rId11"/>
  </sheets>
  <definedNames>
    <definedName name="_xlnm.Print_Titles" localSheetId="0">'Promoción_EB 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0" i="22" l="1"/>
  <c r="N30" i="22"/>
  <c r="O27" i="22"/>
  <c r="N27" i="22"/>
  <c r="J25" i="15" l="1"/>
  <c r="I25" i="14"/>
  <c r="I22" i="13"/>
  <c r="H22" i="13"/>
  <c r="I11" i="13"/>
  <c r="H11" i="13"/>
</calcChain>
</file>

<file path=xl/sharedStrings.xml><?xml version="1.0" encoding="utf-8"?>
<sst xmlns="http://schemas.openxmlformats.org/spreadsheetml/2006/main" count="896" uniqueCount="518">
  <si>
    <t>Instrumento</t>
  </si>
  <si>
    <t>Figura</t>
  </si>
  <si>
    <t>Especificaciones que no son congruentes con el indicador/total de especificaciones del instrumento</t>
  </si>
  <si>
    <t>Problemas en Banco de reactivos</t>
  </si>
  <si>
    <t>% de reactivos con problemas de congruencia con especificación</t>
  </si>
  <si>
    <t>% de reactivos con problemas en su estructura</t>
  </si>
  <si>
    <t>Especificaciones calificadas/ totales</t>
  </si>
  <si>
    <t>Elaboración de reactivos nuevos en 2017</t>
  </si>
  <si>
    <t>Problemas en índices psicométricos</t>
  </si>
  <si>
    <t xml:space="preserve">Requiere fortalecer el banco </t>
  </si>
  <si>
    <t>Dictamen</t>
  </si>
  <si>
    <t xml:space="preserve">Requiere corregir especificaciones y reelaborar banco de reactivos </t>
  </si>
  <si>
    <t>Examen de conocimientos y habilidades para la práctica profesional</t>
  </si>
  <si>
    <t>Director. Educación Preescolar</t>
  </si>
  <si>
    <t>Director. Educación Primaria</t>
  </si>
  <si>
    <t>Jefe de Sector. Educación Preescolar</t>
  </si>
  <si>
    <t>Jefe de Sector. Educación Primaria</t>
  </si>
  <si>
    <t>Supervisor. Educación Preescolar</t>
  </si>
  <si>
    <t>Supervisor. Educación Primaria</t>
  </si>
  <si>
    <t>Supervisor. Educación  Especial</t>
  </si>
  <si>
    <t>Supervisor. Educación Física</t>
  </si>
  <si>
    <t>Asesor Técnico Pedagógico. Educación Preescolar. Lenguaje Oral y Escrito</t>
  </si>
  <si>
    <t>Asesor Técnico Pedagógico. Educación Preescolar. Pensamiento Matemático</t>
  </si>
  <si>
    <t>Asesor Técnico Pedagógico. Educación Primaria. Lenguaje Oral y Escrito</t>
  </si>
  <si>
    <t>Asesor Técnico Pedagógico. Educación Primaria. Pensamiento Matemático</t>
  </si>
  <si>
    <t>Asesor Técnico Pedagógico. Educación  Especial</t>
  </si>
  <si>
    <t>Asesor Técnico Pedagógico. Educación Física</t>
  </si>
  <si>
    <t>Examen de habilidades intelectuales y responsabilidades ético-profesionales</t>
  </si>
  <si>
    <t>Común Dirección</t>
  </si>
  <si>
    <t xml:space="preserve">Común Supervisión </t>
  </si>
  <si>
    <t>Común ATP</t>
  </si>
  <si>
    <t>Examen de conocimientos y competencias didácticas que favorecen el aprendizaje de los alumnos</t>
  </si>
  <si>
    <t>Docente. Educación Preescolar</t>
  </si>
  <si>
    <t>Docente. Educación Primaria</t>
  </si>
  <si>
    <t>Docente. Educación Especial</t>
  </si>
  <si>
    <t>Docente. Educación Física</t>
  </si>
  <si>
    <t>Docente. Educación Indígena. Preescolar</t>
  </si>
  <si>
    <t>Docente. Educación Indígena. Primaria</t>
  </si>
  <si>
    <t>Docente. Segunda Lengua: Inglés Preescolar</t>
  </si>
  <si>
    <t>Docente. Segunda Lengua: Inglés Primaria</t>
  </si>
  <si>
    <t>Técnico Docente.  Acompañante de Música. Educación Preescolar</t>
  </si>
  <si>
    <t>Técnico Docente. Maestro de enseñanza Artística. Educación Primaria</t>
  </si>
  <si>
    <t>Técnico Docente. Maestro de Taller. Educación Primaria</t>
  </si>
  <si>
    <t>Técnico Docente. Promotor de TIC. Educación Primaria</t>
  </si>
  <si>
    <t>Técnico Docente. Maestro de Música. Educación Indígena</t>
  </si>
  <si>
    <t xml:space="preserve">Técnico Docente. Maestro de Taller. Educación Indígena </t>
  </si>
  <si>
    <t>Técnico Docente. Acompañante de Música. Educación Especial</t>
  </si>
  <si>
    <t>Técnico Docente. Maestro de Taller. Educación Especial</t>
  </si>
  <si>
    <t>Técnico Docente. Tutor en Albergue Rural. Educación Primaria</t>
  </si>
  <si>
    <t>Técnico Docente. Maestro de Taller. Misiones Culturales</t>
  </si>
  <si>
    <t>Examen de conocimientos y habilidades directivas</t>
  </si>
  <si>
    <t>Director Escolar. Educación Preescolar</t>
  </si>
  <si>
    <t>Director. Educación Especial</t>
  </si>
  <si>
    <t xml:space="preserve">Subdirector Académico. Educación Preescolar </t>
  </si>
  <si>
    <t>Subdirector Académico. Educación Primaria</t>
  </si>
  <si>
    <t>Subdirector Académico. Educación Especial</t>
  </si>
  <si>
    <t>Subdirector de Gestión. Educación Preescolar</t>
  </si>
  <si>
    <t>Subdirector de Gestión. Educación Primaria</t>
  </si>
  <si>
    <t>Subdirector de Gestión. Educación Especial</t>
  </si>
  <si>
    <t>Examen de conocimientos y habilidades de las funciones de supervisión</t>
  </si>
  <si>
    <t xml:space="preserve"> Jefe de Sector. Educación Primaria </t>
  </si>
  <si>
    <t>Supervisor Escolar Educación Preescolar</t>
  </si>
  <si>
    <t>Supervisor Escolar. Educación Primaria</t>
  </si>
  <si>
    <t xml:space="preserve">Supervisor Escolar. Educación Especial </t>
  </si>
  <si>
    <t>Supervisor Escolar. Educación Física</t>
  </si>
  <si>
    <t xml:space="preserve">Supervisor Escolar. Educación para Adultos </t>
  </si>
  <si>
    <t>2016-2017</t>
  </si>
  <si>
    <t>4/45</t>
  </si>
  <si>
    <t>2/50</t>
  </si>
  <si>
    <t>4/50</t>
  </si>
  <si>
    <t>3/50</t>
  </si>
  <si>
    <t>8/50</t>
  </si>
  <si>
    <t>3/60</t>
  </si>
  <si>
    <t>14/50</t>
  </si>
  <si>
    <t>18/50</t>
  </si>
  <si>
    <t>15/50</t>
  </si>
  <si>
    <t>9/50</t>
  </si>
  <si>
    <t>26/50</t>
  </si>
  <si>
    <t>30/50</t>
  </si>
  <si>
    <t>Indicadores cuyo contenido no se encuentra reflejado en las aspectos/  total de indicadores señalados en el EAMI para el instrumento</t>
  </si>
  <si>
    <t xml:space="preserve">DICTAMEN </t>
  </si>
  <si>
    <t>* En el caso de instrumentos de respuesta construida, el total corresponde a los aspectos a evaluar incluidos en la matriz de especificaciones del instrumento</t>
  </si>
  <si>
    <t>N°</t>
  </si>
  <si>
    <t>Elaboración de reactivos nuevos en 2017-2018</t>
  </si>
  <si>
    <t>EEE. Docente. Educación Preescolar</t>
  </si>
  <si>
    <t>EEE. Docente. Educación Primaria</t>
  </si>
  <si>
    <t>EEE. Docente. Educación. Educación Especial</t>
  </si>
  <si>
    <t>EEE. Docente. Educación Física</t>
  </si>
  <si>
    <t>EEE. Técnico Docente</t>
  </si>
  <si>
    <t>EEE. Técnico Docente. Tutor de Albergue Rural</t>
  </si>
  <si>
    <t>EEE. Técnico Docente. Misiones Culturales</t>
  </si>
  <si>
    <t>PDA. Docente. Educación Preescolar</t>
  </si>
  <si>
    <t>PDA. Docente. Educación Primaria</t>
  </si>
  <si>
    <t>PDA. Docente. Educación. Educación Especial</t>
  </si>
  <si>
    <t>PDA. Docente. Educación Física</t>
  </si>
  <si>
    <t>PDA. Técnico Docente</t>
  </si>
  <si>
    <t>PDA. Técnico Docente. Tutor de Albergue Rural</t>
  </si>
  <si>
    <t>PDA. Técnico Docente. Misiones Culturales</t>
  </si>
  <si>
    <t xml:space="preserve">EEF. Director </t>
  </si>
  <si>
    <t xml:space="preserve">EEF. Jefe de Sector </t>
  </si>
  <si>
    <t>EEF. Supervisor</t>
  </si>
  <si>
    <t>EEF. Subdirector Académico</t>
  </si>
  <si>
    <t>EEF. Subdirector de Gestión</t>
  </si>
  <si>
    <t xml:space="preserve">RMA. Director </t>
  </si>
  <si>
    <t xml:space="preserve">PTA.Jefe de Sector </t>
  </si>
  <si>
    <t>PTA.Supervisor</t>
  </si>
  <si>
    <t>RMA. Subdirector Académico</t>
  </si>
  <si>
    <t>RMA. Subdirector de Gestión</t>
  </si>
  <si>
    <t>Instrumentos de Respuesta construida proceso de Evaluación de Desempeño</t>
  </si>
  <si>
    <t>3/57</t>
  </si>
  <si>
    <t>3/37</t>
  </si>
  <si>
    <t>40/40</t>
  </si>
  <si>
    <t>Sin mantenimiento</t>
  </si>
  <si>
    <t>Casos</t>
  </si>
  <si>
    <t>Reactivos</t>
  </si>
  <si>
    <t>% de casos y  reactivos con problemas de congruencia con especificación</t>
  </si>
  <si>
    <t>% de casos y  reactivos  con problemas en su estructura</t>
  </si>
  <si>
    <t>35/37</t>
  </si>
  <si>
    <t>47/48</t>
  </si>
  <si>
    <t>47/53</t>
  </si>
  <si>
    <t>47/51</t>
  </si>
  <si>
    <t>36/39</t>
  </si>
  <si>
    <t>45/49</t>
  </si>
  <si>
    <t>44/48</t>
  </si>
  <si>
    <t>45/48</t>
  </si>
  <si>
    <t>37/47</t>
  </si>
  <si>
    <t>46/51</t>
  </si>
  <si>
    <t>41/46</t>
  </si>
  <si>
    <t>40/46</t>
  </si>
  <si>
    <t>48/49</t>
  </si>
  <si>
    <t>48/50</t>
  </si>
  <si>
    <t>42/46</t>
  </si>
  <si>
    <t>49/57</t>
  </si>
  <si>
    <t>44/50</t>
  </si>
  <si>
    <t>50/51</t>
  </si>
  <si>
    <t>44/49</t>
  </si>
  <si>
    <t>76</t>
  </si>
  <si>
    <t>P/38</t>
  </si>
  <si>
    <t>P/44</t>
  </si>
  <si>
    <t>P/48</t>
  </si>
  <si>
    <t>P/35</t>
  </si>
  <si>
    <t>P/42</t>
  </si>
  <si>
    <t>P/30</t>
  </si>
  <si>
    <t>P/32</t>
  </si>
  <si>
    <t>P/29</t>
  </si>
  <si>
    <t>P/36</t>
  </si>
  <si>
    <t>P/39</t>
  </si>
  <si>
    <t>P/28</t>
  </si>
  <si>
    <t>P/25</t>
  </si>
  <si>
    <t>P/49</t>
  </si>
  <si>
    <t>*Datos de 2015-2016  No se recibieron evidencias bajo el argumento de que se aplicaron a poblaciones menores a 100 sustentantes y no fueron modificados</t>
  </si>
  <si>
    <t>/5</t>
  </si>
  <si>
    <t>/6</t>
  </si>
  <si>
    <t>/7</t>
  </si>
  <si>
    <t>/8</t>
  </si>
  <si>
    <t>/11</t>
  </si>
  <si>
    <t>Técnico Docente. Maestro de Taller de Lectura y Escritura. Educación  Básica</t>
  </si>
  <si>
    <t>1/59*</t>
  </si>
  <si>
    <t>7/59*</t>
  </si>
  <si>
    <t>5/59*</t>
  </si>
  <si>
    <t>Instrumentos de Desempeño M1</t>
  </si>
  <si>
    <t xml:space="preserve">P: falta verificar información </t>
  </si>
  <si>
    <t>problemas en criterios rúbrica/total de criterios de la rúbrica</t>
  </si>
  <si>
    <t>Problemas en tareas evaluativas y rúbrica</t>
  </si>
  <si>
    <t>% de tareas evaluativas con problemas de congruencia con especificación</t>
  </si>
  <si>
    <t xml:space="preserve">%  de tareas evaluativas con problemas en su estructura </t>
  </si>
  <si>
    <t xml:space="preserve">Requiere corregir especificaciones y reelaborar banco de tareas evaluativas </t>
  </si>
  <si>
    <t>0/8</t>
  </si>
  <si>
    <t>1/8</t>
  </si>
  <si>
    <t>2/8</t>
  </si>
  <si>
    <t>Total de tareas evaluativas</t>
  </si>
  <si>
    <t>-</t>
  </si>
  <si>
    <t>EMS</t>
  </si>
  <si>
    <t xml:space="preserve">Requiere revisar el objeto de medida y reelaborar banco de reactivos </t>
  </si>
  <si>
    <t>Requiere revisar el objeto de medida, las tareas evaluativas y la rúbrica</t>
  </si>
  <si>
    <t xml:space="preserve">Requiere fortalecer tareas evaluativas y rúbrica </t>
  </si>
  <si>
    <t xml:space="preserve">Problemas en Banco de reactivos
</t>
  </si>
  <si>
    <t>DIAGNÓSTICO INSTRUMENTOS DE OPCIÓN MÚLTIPLE DESEMPEÑO ATP</t>
  </si>
  <si>
    <t>Asesor Técnico Pedagógico. Lenguaje oral y escrito. Preescolar</t>
  </si>
  <si>
    <t>Asesor Técnico Pedagógico. Pensamiento matemático. Preescolar</t>
  </si>
  <si>
    <t>Asesor Técnico Pedagógico. Lenguaje oral y escrito. Primaria</t>
  </si>
  <si>
    <t>Asesor Técnico Pedagógico. Pensamiento matemático. Primaria</t>
  </si>
  <si>
    <t>Asesor Técnico Pedagógico. Educación Especial.</t>
  </si>
  <si>
    <t>Asesor Técnico Pedagógico. Educación Física.</t>
  </si>
  <si>
    <t>0/45</t>
  </si>
  <si>
    <t>1/45</t>
  </si>
  <si>
    <t>2/45</t>
  </si>
  <si>
    <t>Informe de responsabilidades profesionales. Autoridad inmediata del ATP</t>
  </si>
  <si>
    <t xml:space="preserve"> Informe de responsabilidades profesionales. ATP</t>
  </si>
  <si>
    <t>Director</t>
  </si>
  <si>
    <t>Subdirector Académico</t>
  </si>
  <si>
    <t>Supervisor</t>
  </si>
  <si>
    <t>Respuesta construida</t>
  </si>
  <si>
    <t>Escalas</t>
  </si>
  <si>
    <t>Total</t>
  </si>
  <si>
    <t>Nivel</t>
  </si>
  <si>
    <t>Docentes</t>
  </si>
  <si>
    <t>Figuras</t>
  </si>
  <si>
    <t xml:space="preserve">Directivos </t>
  </si>
  <si>
    <t>Jefe de Departamento Académico</t>
  </si>
  <si>
    <t>Jefe de Departamento Administrativo</t>
  </si>
  <si>
    <t>DIAGNÓSTICO INSTRUMENTOS DE OPCIÓN MÚLTIPLE PROMOCIÓN EMS</t>
  </si>
  <si>
    <t xml:space="preserve">No. </t>
  </si>
  <si>
    <t>Especificaciones que no son conguentes con el indicador/ total de especificaciones del instrumento</t>
  </si>
  <si>
    <t xml:space="preserve">Problemas en Banco de reactivos </t>
  </si>
  <si>
    <t xml:space="preserve">%  de reactivos con problemas en su estructura </t>
  </si>
  <si>
    <t xml:space="preserve">Especificaciones calificadas / totales </t>
  </si>
  <si>
    <t xml:space="preserve">Requiere revisar el objeto de medida y fortalecer banco de reactivos </t>
  </si>
  <si>
    <t>0 / 48</t>
  </si>
  <si>
    <t>44 / 48</t>
  </si>
  <si>
    <t>0 / 32</t>
  </si>
  <si>
    <t>31 / 32</t>
  </si>
  <si>
    <t>0 / 52</t>
  </si>
  <si>
    <t>48 / 52</t>
  </si>
  <si>
    <t>8 / 32</t>
  </si>
  <si>
    <t>Subdirector Administrativo</t>
  </si>
  <si>
    <t>0 / 34</t>
  </si>
  <si>
    <t>32 / 34</t>
  </si>
  <si>
    <t>1 / 53</t>
  </si>
  <si>
    <t>43 / 53</t>
  </si>
  <si>
    <t>DIAGNÓSTICO INSTRUMENTOS DE RESPUESTA CONSTRUIDA PROMOCIÓN EMS</t>
  </si>
  <si>
    <t>No.</t>
  </si>
  <si>
    <t xml:space="preserve">INSTRUMENTO </t>
  </si>
  <si>
    <t>Problemas de congruencia con la tarea evaluativa</t>
  </si>
  <si>
    <t>Problemas de progresión y gradualidad</t>
  </si>
  <si>
    <t>Plan de Mejora. Director</t>
  </si>
  <si>
    <t>3 / 31</t>
  </si>
  <si>
    <t>Plan Estratégico de Supervisión. Supervisor</t>
  </si>
  <si>
    <t>1 / 17</t>
  </si>
  <si>
    <t>Plan de Desarrollo Académico. Subdirector Académico</t>
  </si>
  <si>
    <t>2 / 19</t>
  </si>
  <si>
    <t>Plan Estratégico Administrativo. Subdirector Administrativo</t>
  </si>
  <si>
    <t>0 / 10</t>
  </si>
  <si>
    <t>Programa de Trabajo Académico. Jefe de Departamento Académico</t>
  </si>
  <si>
    <t>13 / 17</t>
  </si>
  <si>
    <t>Programa de Trabajo Administrativo. Jefe de Departamento Administrativo</t>
  </si>
  <si>
    <t>4 / 13</t>
  </si>
  <si>
    <t>Observaciones a los indicadores disciplinares / total de indicadores disciplinares</t>
  </si>
  <si>
    <t>Administración</t>
  </si>
  <si>
    <t>53 / 54</t>
  </si>
  <si>
    <t>Biología</t>
  </si>
  <si>
    <t>48 / 49</t>
  </si>
  <si>
    <t>Ciencias de la Salud</t>
  </si>
  <si>
    <t>41 / 43</t>
  </si>
  <si>
    <t xml:space="preserve"> Derecho</t>
  </si>
  <si>
    <t>46 / 48</t>
  </si>
  <si>
    <t xml:space="preserve"> Dibujo</t>
  </si>
  <si>
    <t>44 / 51</t>
  </si>
  <si>
    <t xml:space="preserve"> Economía</t>
  </si>
  <si>
    <t>40 / 41</t>
  </si>
  <si>
    <t xml:space="preserve"> Etimologías Grecolatinas</t>
  </si>
  <si>
    <t>35 / 35</t>
  </si>
  <si>
    <t xml:space="preserve"> Física</t>
  </si>
  <si>
    <t>54 / 55</t>
  </si>
  <si>
    <t xml:space="preserve"> Geografía</t>
  </si>
  <si>
    <t>48 / 55</t>
  </si>
  <si>
    <t xml:space="preserve">  Historia</t>
  </si>
  <si>
    <t>38 / 38</t>
  </si>
  <si>
    <t xml:space="preserve"> Historia del Arte</t>
  </si>
  <si>
    <t>38 / 39</t>
  </si>
  <si>
    <t xml:space="preserve"> Humanidades</t>
  </si>
  <si>
    <t>25 / 25</t>
  </si>
  <si>
    <t xml:space="preserve"> Informática</t>
  </si>
  <si>
    <t>40 / 40</t>
  </si>
  <si>
    <t xml:space="preserve"> Lectura y Expresión Escrita</t>
  </si>
  <si>
    <t>26 / 26</t>
  </si>
  <si>
    <t xml:space="preserve"> Literatura</t>
  </si>
  <si>
    <t>37 / 38</t>
  </si>
  <si>
    <t xml:space="preserve"> Matemáticas</t>
  </si>
  <si>
    <t>51 / 51</t>
  </si>
  <si>
    <t xml:space="preserve"> Metodología de la Investigación</t>
  </si>
  <si>
    <t>47 / 50</t>
  </si>
  <si>
    <t xml:space="preserve"> Psicología</t>
  </si>
  <si>
    <t>46 / 47</t>
  </si>
  <si>
    <t xml:space="preserve"> Química</t>
  </si>
  <si>
    <t>59 / 60</t>
  </si>
  <si>
    <t xml:space="preserve"> Sociología-Política</t>
  </si>
  <si>
    <t>51 / 53</t>
  </si>
  <si>
    <t>Habilidades Docentes</t>
  </si>
  <si>
    <t>37 / 37</t>
  </si>
  <si>
    <t>DIAGNÓSTICO INSTRUMENTOS DE RESPUESTA CONSTRUIDA INGRESO EMS</t>
  </si>
  <si>
    <t>Problemas en tareas evaluativas</t>
  </si>
  <si>
    <t>Total tareas evaluativas</t>
  </si>
  <si>
    <t xml:space="preserve"> Plan de Clase</t>
  </si>
  <si>
    <t>15 / 18</t>
  </si>
  <si>
    <t xml:space="preserve"> DIAGNÓSTICO INSTRUMENTOS DE OPCIÓN MÚLTIPLE DESEMPEÑO EMS</t>
  </si>
  <si>
    <t>Derecho</t>
  </si>
  <si>
    <t>Dibujo</t>
  </si>
  <si>
    <t>Economía</t>
  </si>
  <si>
    <t>Etimologías Grecolatinas</t>
  </si>
  <si>
    <t>Geografía</t>
  </si>
  <si>
    <t>Historia del Arte</t>
  </si>
  <si>
    <t>Humanidades</t>
  </si>
  <si>
    <t>Informática</t>
  </si>
  <si>
    <t>Lectura y Expresión Oral y Escrita</t>
  </si>
  <si>
    <t>Literatura</t>
  </si>
  <si>
    <t>Matemáticas</t>
  </si>
  <si>
    <t>Metodología de la Investigación</t>
  </si>
  <si>
    <t>Psicología</t>
  </si>
  <si>
    <t>Química</t>
  </si>
  <si>
    <t>Sociología Política</t>
  </si>
  <si>
    <t>Examen de conocimientos 
científicos y tecnológicos</t>
  </si>
  <si>
    <t xml:space="preserve">Habilidades Didácticas* </t>
  </si>
  <si>
    <t>Opción Múltiple</t>
  </si>
  <si>
    <t>Proyecto de Enseñanza</t>
  </si>
  <si>
    <t>Informe de 
responsabilidades 
profesionales (Docente)</t>
  </si>
  <si>
    <t>Informe de 
responsabilidades 
profesionales (Técnico Docente)</t>
  </si>
  <si>
    <t>Asesor Técnico Pedagógico Lenguaje oral y escrito. Secundaria</t>
  </si>
  <si>
    <t>Asesor Técnico Pedagógico. Pensamiento matemático. Secundaria</t>
  </si>
  <si>
    <t>Instrumentos aún no aplicados:</t>
  </si>
  <si>
    <t>*Reemplaza al Examen de Competencias Docentes</t>
  </si>
  <si>
    <t>DIAGNÓSTICO INSTRUMENTOS DE OPCIÓN MÚLTIPLE PROMOCIÓN EB (Sin secundaria)</t>
  </si>
  <si>
    <t>INSTRUMENTOS DE ESCALAS DESEMPEÑO EB</t>
  </si>
  <si>
    <t>INSTRUMENTOS DE RESPUESTA CONSTRUIDA  DESEMPEÑO EB</t>
  </si>
  <si>
    <t xml:space="preserve">Aún no se cuenta con información </t>
  </si>
  <si>
    <t xml:space="preserve"> Desempeño Modelo 2. Figuras nuevas para 2018</t>
  </si>
  <si>
    <t>Rúbrica del Proyecto de intervención. Asesor Técnico Pedagógico. Educación Básica (Preescolar, Primaria y Secundaria)</t>
  </si>
  <si>
    <t>Rúbrica del Proyecto de intervención. Asesor Técnico Pedagógico. Educación Física</t>
  </si>
  <si>
    <t>Rúbrica del Proyecto de intervención. Asesor Técnico Pedagógico. Educación Especial</t>
  </si>
  <si>
    <t>Problemas en las tareas evaluativas y la rúbrica</t>
  </si>
  <si>
    <t>Problemas de congruencia de la rúbrica con la tarea evaluativa</t>
  </si>
  <si>
    <t>Problemas de progresión y gradualidad de la rúbrica</t>
  </si>
  <si>
    <t>Telebachillerato comunitario</t>
  </si>
  <si>
    <t>2 informes
1 rúbrica
3 exámenes de áreas disciplinares
1 examen de competencias didácticas</t>
  </si>
  <si>
    <t>2 informes
1 rúbrica
1 examen</t>
  </si>
  <si>
    <t>Total  de instrumentos</t>
  </si>
  <si>
    <t>1 / 12</t>
  </si>
  <si>
    <t>12 / 12</t>
  </si>
  <si>
    <t>0 / 7</t>
  </si>
  <si>
    <t>3 / 14</t>
  </si>
  <si>
    <t>1 / 13</t>
  </si>
  <si>
    <t>0 / 15</t>
  </si>
  <si>
    <t>1 / 8</t>
  </si>
  <si>
    <t>1 / 7</t>
  </si>
  <si>
    <t>3 / 9</t>
  </si>
  <si>
    <t>3 / 8</t>
  </si>
  <si>
    <t>3 / 11</t>
  </si>
  <si>
    <t>2 / 11</t>
  </si>
  <si>
    <t>3 / 15</t>
  </si>
  <si>
    <t>2 / 8</t>
  </si>
  <si>
    <t>20 / 37</t>
  </si>
  <si>
    <t>Observaciones a los indicadores disciplinares / Total de indicadores disciplinares</t>
  </si>
  <si>
    <t xml:space="preserve"> DIAGNÓSTICO INSTRUMENTOS DE OPCIÓN MÚLTIPLE INGRESO EMS (1)</t>
  </si>
  <si>
    <t xml:space="preserve"> DIAGNÓSTICO INSTRUMENTOS DE OPCIÓN MÚLTIPLE INGRESO EMS (2)</t>
  </si>
  <si>
    <t>Total de ítems</t>
  </si>
  <si>
    <t xml:space="preserve">No. de criterios </t>
  </si>
  <si>
    <t>No. de tareas evaluativas</t>
  </si>
  <si>
    <t>Área</t>
  </si>
  <si>
    <t>Subárea</t>
  </si>
  <si>
    <t>Tema</t>
  </si>
  <si>
    <t>Indicadores 2017</t>
  </si>
  <si>
    <t>Referentes teóricos de la RIEMS</t>
  </si>
  <si>
    <t>Normatividad de la RIEMS</t>
  </si>
  <si>
    <t>RIEMS</t>
  </si>
  <si>
    <t>5.1.1</t>
  </si>
  <si>
    <t>Educación con enfoque por competencias</t>
  </si>
  <si>
    <t>Modelo Educativo</t>
  </si>
  <si>
    <t>Educación centrada en el aprendizaje</t>
  </si>
  <si>
    <t>Evaluación</t>
  </si>
  <si>
    <t>Operatividad de la RIEMS</t>
  </si>
  <si>
    <t>Planeación didáctica</t>
  </si>
  <si>
    <t>Elementos de la planeación didáctica</t>
  </si>
  <si>
    <t>3.1.2</t>
  </si>
  <si>
    <t>1.3.2, 2.2.2</t>
  </si>
  <si>
    <t>Proceso de enseñanza y de aprendizaje</t>
  </si>
  <si>
    <t>Ejecución</t>
  </si>
  <si>
    <t>2.3.1, 2.3.2</t>
  </si>
  <si>
    <t>Características de la planeación didáctica</t>
  </si>
  <si>
    <t>Estructura del Examen de Habilidades Didácticas</t>
  </si>
  <si>
    <t>21 Indicadores sin especificación asociada:
1.1.2, 1.4.1, 2.1.2, 3.2.1, 3.2.2, 3.2.3, 3.2.4, 3.3.1, 3.3.2, 3.3.3, 3.4.1, 3.4.2, 3.4.3, 4.1.2, 4.2.2, 5.1.2, 5.1.3, 5.2.1, 5.2.2, 5.2.3, 5.2.4</t>
  </si>
  <si>
    <t>1.1.1, 1.2.2, 2.2.2</t>
  </si>
  <si>
    <t>1.1.1</t>
  </si>
  <si>
    <t>2.3.1</t>
  </si>
  <si>
    <t>Tipo de modificación</t>
  </si>
  <si>
    <r>
      <t xml:space="preserve">1.1.1. Identifica el </t>
    </r>
    <r>
      <rPr>
        <b/>
        <sz val="10"/>
        <color rgb="FF000000"/>
        <rFont val="Arial"/>
        <family val="2"/>
      </rPr>
      <t xml:space="preserve">modelo basado en competencias </t>
    </r>
    <r>
      <rPr>
        <sz val="10"/>
        <color rgb="FF000000"/>
        <rFont val="Arial"/>
        <family val="2"/>
      </rPr>
      <t>para el logro del aprendizaje significativo.</t>
    </r>
  </si>
  <si>
    <t>Iguales</t>
  </si>
  <si>
    <r>
      <t xml:space="preserve">1.1.2. Identifica los procesos de construcción del conocimiento para el desarrollo de los propósitos de aprendizaje </t>
    </r>
    <r>
      <rPr>
        <i/>
        <sz val="10"/>
        <color rgb="FF000000"/>
        <rFont val="Arial"/>
        <family val="2"/>
      </rPr>
      <t>(No se evaluaba en 2016)</t>
    </r>
  </si>
  <si>
    <t>Cambio en redacción</t>
  </si>
  <si>
    <t>1.2.2. Identifica estrategias didácticas para enseñar la disciplina</t>
  </si>
  <si>
    <t>Cambio por precisión</t>
  </si>
  <si>
    <r>
      <t xml:space="preserve">1.3.2. </t>
    </r>
    <r>
      <rPr>
        <b/>
        <sz val="10"/>
        <color rgb="FF000000"/>
        <rFont val="Arial"/>
        <family val="2"/>
      </rPr>
      <t xml:space="preserve">Identifica las características </t>
    </r>
    <r>
      <rPr>
        <sz val="10"/>
        <color rgb="FF000000"/>
        <rFont val="Arial"/>
        <family val="2"/>
      </rPr>
      <t>de la transversalidad para fortalecer los aprendizajes de los estudiantes.</t>
    </r>
  </si>
  <si>
    <t>Cambio de ubicación (dimensión)</t>
  </si>
  <si>
    <t>Nuevo</t>
  </si>
  <si>
    <t>1.4.1. Identifica información relacionada con la disciplina utilizando las Tecnologías de la Información y la Comunicación.</t>
  </si>
  <si>
    <r>
      <t>2.1.2</t>
    </r>
    <r>
      <rPr>
        <b/>
        <sz val="10"/>
        <color rgb="FF000000"/>
        <rFont val="Arial"/>
        <family val="2"/>
      </rPr>
      <t xml:space="preserve">. Identifica las necesidades </t>
    </r>
    <r>
      <rPr>
        <sz val="10"/>
        <color rgb="FF000000"/>
        <rFont val="Arial"/>
        <family val="2"/>
      </rPr>
      <t>de formación e intereses de los estudiantes para realizar su planeación</t>
    </r>
  </si>
  <si>
    <r>
      <t>2.2.2</t>
    </r>
    <r>
      <rPr>
        <b/>
        <sz val="10"/>
        <color rgb="FF000000"/>
        <rFont val="Arial"/>
        <family val="2"/>
      </rPr>
      <t xml:space="preserve">. Identifica elementos </t>
    </r>
    <r>
      <rPr>
        <sz val="10"/>
        <color rgb="FF000000"/>
        <rFont val="Arial"/>
        <family val="2"/>
      </rPr>
      <t>que vinculen el contexto social de los estudiantes con los contenidos de la asignatura para adaptar su planeación</t>
    </r>
  </si>
  <si>
    <r>
      <t xml:space="preserve">2.3.1. Distingue los tipos de la </t>
    </r>
    <r>
      <rPr>
        <b/>
        <sz val="10"/>
        <color rgb="FF000000"/>
        <rFont val="Arial"/>
        <family val="2"/>
      </rPr>
      <t>evaluación</t>
    </r>
    <r>
      <rPr>
        <sz val="10"/>
        <color rgb="FF000000"/>
        <rFont val="Arial"/>
        <family val="2"/>
      </rPr>
      <t xml:space="preserve"> (diagnóstica, formativa y sumativa) en la planeación para el logro del objetivo de la asignatura.</t>
    </r>
  </si>
  <si>
    <r>
      <t xml:space="preserve">2.3.2. Identifica la </t>
    </r>
    <r>
      <rPr>
        <b/>
        <sz val="10"/>
        <color rgb="FF000000"/>
        <rFont val="Arial"/>
        <family val="2"/>
      </rPr>
      <t>evaluación</t>
    </r>
    <r>
      <rPr>
        <sz val="10"/>
        <color rgb="FF000000"/>
        <rFont val="Arial"/>
        <family val="2"/>
      </rPr>
      <t xml:space="preserve"> por agente (autoevaluación, coevaluación y heteroevaluación) para reforzar los procesos de enseñanza y de aprendizaje</t>
    </r>
  </si>
  <si>
    <t>4.2.2. Identifica los resultados de la evaluación de los estudiantes como un elemento para adaptar la práctica docente.</t>
  </si>
  <si>
    <t>3.1.2. Distingue recursos para el desarrollo de los contenidos de la disciplina, de acuerdo con el entorno sociocultural de los estudiantes.</t>
  </si>
  <si>
    <t>3.2.1. Reconoce los vínculos de colaboración entre diferentes actores del contexto escolar para el desarrollo del proceso de enseñanza y aprendizaje de los estudiantes</t>
  </si>
  <si>
    <t>3.2.2. Distingue las acciones de las instancias institucionales para la vinculación con los padres de familia en la formación de los estudiantes</t>
  </si>
  <si>
    <t>3.2.3. Propone acciones para la vinculación con empresas, cooperativas e instituciones educativas, entre otros, en la formación de los estudiantes</t>
  </si>
  <si>
    <t>3.2.4. Propone usos de las Tecnologías de la Información y la Comunicación. para la vinculación e interacción con diversos agentes</t>
  </si>
  <si>
    <t>3.3.1. Distingue estrategias de inclusión que contribuyan a la disminución del abandono escolar dentro de su responsabilidad docente</t>
  </si>
  <si>
    <t>3.3.2. Distingue estrategias para el autoconocimiento, la autovaloración y el fortalecimiento de la autoestima de los estudiantes, en un ambiente incluyente</t>
  </si>
  <si>
    <t>3.3.3. Distingue estrategias para el favorecimiento del respeto y valoración de las opiniones de los demás.</t>
  </si>
  <si>
    <t>3.4.1. Reconoce estrategias de corresponsabilidad entre el docente y los estudiantes para el logro de los objetivos de aprendizaje</t>
  </si>
  <si>
    <t>3.4.2. Reconoce acciones colegiadas con la comunidad educativa para promover ambientes de aprendizaje autónomo y colaborativo.</t>
  </si>
  <si>
    <t>3.4.3. Identifica acciones de corresponsabilidad académica con otros docentes para la formación de los estudiantes</t>
  </si>
  <si>
    <t>5.1.1. Reconoce el marco normativo de la Educación Media Superior para el ejercicio de la función docente</t>
  </si>
  <si>
    <t>5.1.2. Identifica los fines y los propósitos de la Educación Media Superior para el desarrollo de la función</t>
  </si>
  <si>
    <t>5.1.3. Reconoce el Código de Conducta para el ejercicio ético de la función docente</t>
  </si>
  <si>
    <t>5.2.1. Distingue mecanismos de participación de los estudiantes en la definición de normas de trabajo y convivencia en el aula, para promover el cumplimiento de las disposiciones institucionales vigentes</t>
  </si>
  <si>
    <t>5.2.2. Reconoce códigos de ética y normas de convivencia en el aula, basadas en la tolerancia, el respeto mutuo, la inclusión y la equidad, para el cumplimiento de las disposiciones institucionales vigentes</t>
  </si>
  <si>
    <t>5.2.3. Identifica estrategias para la resolución de conflictos personales e interpersonales entre los estudiantes a partir de la normativa en la materia</t>
  </si>
  <si>
    <t>5.2.4. Identifica los mecanismos de canalización a instancias correspondientes para los estudiantes que requieren algún tipo de atención, de acuerdo con las disposiciones legales vigentes.</t>
  </si>
  <si>
    <t>Dimensión 1</t>
  </si>
  <si>
    <t>Dimensión 2</t>
  </si>
  <si>
    <t>Dimensión 3</t>
  </si>
  <si>
    <t>Dimensión 4</t>
  </si>
  <si>
    <t>Dimensión 5</t>
  </si>
  <si>
    <r>
      <t xml:space="preserve">4.1.2. Reconoce la formación docente como una estrategia que fortalece el trabajo en el aula para el logro de aprendizajes. </t>
    </r>
    <r>
      <rPr>
        <i/>
        <sz val="10"/>
        <color theme="1"/>
        <rFont val="Arial"/>
        <family val="2"/>
      </rPr>
      <t>(No se evaluaba en 2016)</t>
    </r>
  </si>
  <si>
    <t>Examen de Habilidades Docentes
Indicadores asociados en el EAMI 2017-2018</t>
  </si>
  <si>
    <t>Indicadores Examen de Habilidades Docentes</t>
  </si>
  <si>
    <t>Indicadores Plan de Clase</t>
  </si>
  <si>
    <t>Ninguna modificación</t>
  </si>
  <si>
    <r>
      <t>1.4.1. Identifica información relacionada con la disciplina utilizando las Tecnologías de la Información y la Comunicación.</t>
    </r>
    <r>
      <rPr>
        <i/>
        <sz val="10"/>
        <color rgb="FF000000"/>
        <rFont val="Arial"/>
        <family val="2"/>
      </rPr>
      <t>(No se evaluaba en 2016)</t>
    </r>
  </si>
  <si>
    <r>
      <t xml:space="preserve">2.1.1. Identifica las </t>
    </r>
    <r>
      <rPr>
        <b/>
        <sz val="10"/>
        <color rgb="FF000000"/>
        <rFont val="Arial"/>
        <family val="2"/>
      </rPr>
      <t>características</t>
    </r>
    <r>
      <rPr>
        <sz val="10"/>
        <color rgb="FF000000"/>
        <rFont val="Arial"/>
        <family val="2"/>
      </rPr>
      <t xml:space="preserve"> y </t>
    </r>
    <r>
      <rPr>
        <b/>
        <sz val="10"/>
        <color rgb="FF000000"/>
        <rFont val="Arial"/>
        <family val="2"/>
      </rPr>
      <t>conocimientos</t>
    </r>
    <r>
      <rPr>
        <sz val="10"/>
        <color rgb="FF000000"/>
        <rFont val="Arial"/>
        <family val="2"/>
      </rPr>
      <t xml:space="preserve"> previos de los estudiantes para planear su curso.</t>
    </r>
  </si>
  <si>
    <t>2.2.1 Identifica las actividades para el logro de los objetivos de aprendizaje de acuerdo con el método basado en competencias</t>
  </si>
  <si>
    <r>
      <t xml:space="preserve">2.2.3. </t>
    </r>
    <r>
      <rPr>
        <b/>
        <sz val="10"/>
        <color rgb="FF000000"/>
        <rFont val="Arial"/>
        <family val="2"/>
      </rPr>
      <t>Plantea</t>
    </r>
    <r>
      <rPr>
        <sz val="10"/>
        <color rgb="FF000000"/>
        <rFont val="Arial"/>
        <family val="2"/>
      </rPr>
      <t xml:space="preserve"> proyectos orientados a la solución de problemas cotidianos del contexto de los estudiantes para el desarrollo de las competencias esperadas.</t>
    </r>
  </si>
  <si>
    <r>
      <t xml:space="preserve">2.2.4. </t>
    </r>
    <r>
      <rPr>
        <b/>
        <sz val="10"/>
        <color rgb="FF000000"/>
        <rFont val="Arial"/>
        <family val="2"/>
      </rPr>
      <t>Selecciona</t>
    </r>
    <r>
      <rPr>
        <sz val="10"/>
        <color rgb="FF000000"/>
        <rFont val="Arial"/>
        <family val="2"/>
      </rPr>
      <t xml:space="preserve"> materiales didácticos, que le permitan el logro de los objetivos de aprendizaje planeados, de acuerdo con el modelo basado en competencias</t>
    </r>
  </si>
  <si>
    <t>2.2.5. Selecciona recursos de las Tecnologías de la Información y la Comunicación, que apoyen el desarrollo de los contenidos de la asignatura</t>
  </si>
  <si>
    <r>
      <t xml:space="preserve">2.3.3. Describe los criterios de </t>
    </r>
    <r>
      <rPr>
        <b/>
        <sz val="10"/>
        <color rgb="FF000000"/>
        <rFont val="Arial"/>
        <family val="2"/>
      </rPr>
      <t>evaluación</t>
    </r>
    <r>
      <rPr>
        <sz val="10"/>
        <color rgb="FF000000"/>
        <rFont val="Arial"/>
        <family val="2"/>
      </rPr>
      <t xml:space="preserve"> en su planeación para el logro de los objetivos de aprendizaje</t>
    </r>
  </si>
  <si>
    <r>
      <t xml:space="preserve">2.3.4. Selecciona los métodos e instrumentos de </t>
    </r>
    <r>
      <rPr>
        <b/>
        <sz val="10"/>
        <color rgb="FF000000"/>
        <rFont val="Arial"/>
        <family val="2"/>
      </rPr>
      <t>evaluación</t>
    </r>
    <r>
      <rPr>
        <sz val="10"/>
        <color rgb="FF000000"/>
        <rFont val="Arial"/>
        <family val="2"/>
      </rPr>
      <t xml:space="preserve"> congruentes con el modelo basado en competencias para valorar el logro de los objetivos de aprendizaje.</t>
    </r>
  </si>
  <si>
    <r>
      <t xml:space="preserve">2.3.5. Plantea acciones de comunicación (criterios, resultados y retroalimentación) con los estudiantes respecto a la </t>
    </r>
    <r>
      <rPr>
        <b/>
        <sz val="10"/>
        <color rgb="FF000000"/>
        <rFont val="Arial"/>
        <family val="2"/>
      </rPr>
      <t>evaluación</t>
    </r>
    <r>
      <rPr>
        <sz val="10"/>
        <color rgb="FF000000"/>
        <rFont val="Arial"/>
        <family val="2"/>
      </rPr>
      <t xml:space="preserve"> de sus aprendizajes.</t>
    </r>
  </si>
  <si>
    <r>
      <t xml:space="preserve">4.3.1. </t>
    </r>
    <r>
      <rPr>
        <b/>
        <sz val="10"/>
        <color rgb="FF000000"/>
        <rFont val="Arial"/>
        <family val="2"/>
      </rPr>
      <t>Identifica</t>
    </r>
    <r>
      <rPr>
        <sz val="10"/>
        <color rgb="FF000000"/>
        <rFont val="Arial"/>
        <family val="2"/>
      </rPr>
      <t xml:space="preserve"> acciones colegiadas para la mejora de la práctica docente</t>
    </r>
  </si>
  <si>
    <t>1.4.2. Identifica el uso de las Tecnologías de la Información y la Comunicación. para realizar la práctica docente</t>
  </si>
  <si>
    <t>Plan de Clase
Indicadores asociados en el EAMI 2017-2018</t>
  </si>
  <si>
    <r>
      <t xml:space="preserve">3.1.1. Vincula el entorno sociocultural e intereses de los estudiantes para contextualizar el proceso de enseñanza y aprendizaje </t>
    </r>
    <r>
      <rPr>
        <i/>
        <sz val="10"/>
        <color rgb="FF000000"/>
        <rFont val="Arial"/>
        <family val="2"/>
      </rPr>
      <t>(No se evaluaba en 2016)</t>
    </r>
  </si>
  <si>
    <t>Tipo de modificaciones</t>
  </si>
  <si>
    <t xml:space="preserve">Cambio en redacción </t>
  </si>
  <si>
    <t>Cambio de ubicación</t>
  </si>
  <si>
    <t>Habilidades docentes</t>
  </si>
  <si>
    <t>2.1.2</t>
  </si>
  <si>
    <t>1.1.1, 1.2.2 , 1.3.1, 1.3.2 , 2.1.2, 2.2.2, 2.3.1 , 2.3.2 , 3.1.2 , 4.1.2, 4.2.2.</t>
  </si>
  <si>
    <t xml:space="preserve"> 3.2.1, 3.2.2, 3.2.3, 3.2.4, 3.3.1, 3.3.2, 3.3.3, 3.4.1, 3.4.2, 3.4.3 , 5.1.1, 5.1.2, 5.1.3, 5.2.1, 5.2.2, 5.2.3 , 5.2.4</t>
  </si>
  <si>
    <t>1.4.1</t>
  </si>
  <si>
    <t>1.1.2</t>
  </si>
  <si>
    <t>Plan de clase</t>
  </si>
  <si>
    <t>1.2.2</t>
  </si>
  <si>
    <t>2.2.1 , 2.2.3 , 2.2.4 , 2.3.5 , 4.3.1</t>
  </si>
  <si>
    <t>1.4.2, 3.2.4 , 3.4.2 , 5.2.3</t>
  </si>
  <si>
    <t xml:space="preserve">1.4.1 , 2.1.2 , 2.2.5 , 2.3.3 , 2.3.4, 2.3.5 , 3.1.1 </t>
  </si>
  <si>
    <t>Nota: el análisis se realizó con los anexos disciplinares actualizados</t>
  </si>
  <si>
    <t>Física</t>
  </si>
  <si>
    <t>Historia</t>
  </si>
  <si>
    <t>Cambio de dimensión</t>
  </si>
  <si>
    <t>Temas: 
Vinculación entre actores del contexto escolar e instancias del contexto social 
Construcción de ambientes éticos, incluyentes y equitativos.</t>
  </si>
  <si>
    <t>Aspectos a evaluar en Plan de clase</t>
  </si>
  <si>
    <t xml:space="preserve">Propósitos de la estrategia didáctica </t>
  </si>
  <si>
    <t>2.2.1</t>
  </si>
  <si>
    <t>Competencias genéricas</t>
  </si>
  <si>
    <t>Competencias disciplinares</t>
  </si>
  <si>
    <t>2.2.1, 2.3.3, 2.3.4</t>
  </si>
  <si>
    <t>Contenido Temático</t>
  </si>
  <si>
    <t>2.2.1, 2.2.4</t>
  </si>
  <si>
    <t>Recursos</t>
  </si>
  <si>
    <t>2.2.1,  2.2.5</t>
  </si>
  <si>
    <t>Momentos de la estrategia didáctica</t>
  </si>
  <si>
    <t>2.1.1, 2.2.1, 2.2.4</t>
  </si>
  <si>
    <t xml:space="preserve">Instrumentos de evaluación a utilizar </t>
  </si>
  <si>
    <t>2.1.1, 2.3.3, 2.3.4</t>
  </si>
  <si>
    <t>12 indicadores que no estan asociados a algún aspecto a evaluar desde el PPI 2016:
 1.2.2, 1.3.1, 1.4.1, 1.4.2, 2.1.2, 2.2.3, 2.3.5, 3.1.1, 3.2.4, 3.4.2, 4.3.1, 5.2.3</t>
  </si>
  <si>
    <t>Indicadores que podrían asociarse con los aspectos a evaluar</t>
  </si>
  <si>
    <t>1.3.1</t>
  </si>
  <si>
    <t xml:space="preserve">1.2.2, 2.1.2, </t>
  </si>
  <si>
    <t>Total de especificaciones</t>
  </si>
  <si>
    <t>PPI</t>
  </si>
  <si>
    <t>Especificaciones</t>
  </si>
  <si>
    <t>Diagnóstico</t>
  </si>
  <si>
    <t>Director. Educación  Especial*</t>
  </si>
  <si>
    <t>Subdirector. Educación Preescolar*</t>
  </si>
  <si>
    <t>Subdirector. Educación Primaria*</t>
  </si>
  <si>
    <t>Supervisor. Educación Básica para Adultos*</t>
  </si>
  <si>
    <t>DIR-PRE.08
DIR-PRE.46</t>
  </si>
  <si>
    <t>DIR-PRI.08
DIR-PRI.46
DIR-PRI.47</t>
  </si>
  <si>
    <t>SUB-PRE.16
SUB-PRE.19</t>
  </si>
  <si>
    <t>SUB-PRIM.02</t>
  </si>
  <si>
    <t>SECTOR-PRE.06
SECTOR-PRE.12
SECTOR-PRE.13
SECTOR-PRE.16
SECTOR-PRE.17
SECTOR-PRE.31</t>
  </si>
  <si>
    <t>SECTOR-PRIM.06
SECTOR-PRIM.12
SECTOR-PRIM.13
SECTOR-PRIM.16
SECTOR-PRIM.17
SECTOR-PRIM.31</t>
  </si>
  <si>
    <t>SUPER-PRE.07
SUPER-PRE.32
SUPER-PRE.34</t>
  </si>
  <si>
    <t>SUPER-PRIM.07
SUPER-PRIM.08
SUPER-PRIM.11
SUPER-PRIM.43</t>
  </si>
  <si>
    <t>SUPER-EDUCFIS.12
SUPER-EDUCFIS.28
SUPER-EDUCFIS.29
SUPER-EDUCFIS.32
SUPER-EDUCFIS.33
SUPER-EDUCFIS.34</t>
  </si>
  <si>
    <t>SUPER-ESPE. 03
SUPER-ESPE.14
SUPER-ESPE.16
SUPER-ESPE.17
SUPER-ESPE.33
SUPER-ESPE.44
SUPER-ESPE.52</t>
  </si>
  <si>
    <t>ATP-EDUFIS.06</t>
  </si>
  <si>
    <t xml:space="preserve">Revisar especificaciones asociadas a los siguientes indicadores que se modificaron en 2017 </t>
  </si>
  <si>
    <t xml:space="preserve">2.2.2: SECTOR-PRE.35, SECTOR-PRE.36
</t>
  </si>
  <si>
    <t xml:space="preserve">2.2.2: SECTOR-PRIM.35, SECTOR-PRIM.36
</t>
  </si>
  <si>
    <t xml:space="preserve">1.3.3: SUPER-ADULTOS.13, SUPER-ADULTOS.14
</t>
  </si>
  <si>
    <t xml:space="preserve">Total </t>
  </si>
  <si>
    <t xml:space="preserve">Especificaciones a modificar </t>
  </si>
  <si>
    <t>DIR- ESPE-16</t>
  </si>
  <si>
    <t>SUPER-ADULTOS.20
SUPER-ADULTOS.21
SUPER-ADULTOS.23
SUPER-ADULTOS.33</t>
  </si>
  <si>
    <t xml:space="preserve">ATP-LENGUA-PRE.24
ATP-LENGUA-PRE.29
</t>
  </si>
  <si>
    <t>ATP-PENSA-PRE.24
ATP-PENSA-PRE.44</t>
  </si>
  <si>
    <t>1.3.3: SUPER-PRE.13, SUPER-PRE.14
2.3.2: SUPER-PRE.40, SUPER-PRE.41</t>
  </si>
  <si>
    <t>1.3.3:SUPER-PRIM.13, SUPER-PRIM.14
 2.3.2: SUPER-PRIM.40, SUPER-PRIM.41</t>
  </si>
  <si>
    <t xml:space="preserve">1.3.2: ATP-LENGUA-PREE.12
1.3.3: ATP-LENGUA-PREE.13, ATP-LENGUA-PREE.14
1.4.3: ATP-LENGUA-PREE.20
2.2.4: ATP-LENGUA-PREE.34, ATP-LENGUA-PREE.35
</t>
  </si>
  <si>
    <t xml:space="preserve">1.2.3: ATP-PENSA-PRE.09, ATP-PENSA-PRE.10
1.3.4: ATP-PENSA-PRE.16
1.4.3: ATP-PENSA-PRE.19, ATP-PENSA-PRE.20
2.1.1: ATP-PENSA-PRE.25
2.2.5: ATP-PENSA-PRE.36, ATP-PENSA-PRE.37
</t>
  </si>
  <si>
    <t xml:space="preserve">1.3.3: ATP-LENGUA-PRIM.12
1.3.4:  ATP-LENGUA-PRIM.13
1.4.3: ATP-LENGUA-PRIM.19
2.2.6: ATP-LENGUA-PRIM.34, ATP-LENGUA-PRIM.35
</t>
  </si>
  <si>
    <t>1.2.3: ATP-PENSA-PRI.11
1.3.4: ATP-PENSA-PRI.15
1.4.3: ATP-PENSA-PRI. 19
2.1.1: ATP-PENSA-PRI.23
2.2.5: ATP-PENSA-PRI.34, ATP-PENSA-PRI.35</t>
  </si>
  <si>
    <t xml:space="preserve">ATP-ESPECIAL.01
ATP-ESPECIAL.02
ATP-ESPECIAL- 05
ATP-ESPECIAL- 06
ATP-ESPECIAL-09
ATP-ESPECIAL-10
ATP-ESPECIAL-12
ATP-ESPECIAL-14
ATP- ESPECIAL-17
ATP- ESPECIAL-18
ATP- ESPECIAL-25
ATP- ESPECIAL-26
ATP- ESPECIAL-29
ATP- ESPECIAL-30
ATP-ESPECIAL-33
ATP-ESPECIAL-39
ATP-ESPECIAL-40
ATP-ESPECIAL-47
</t>
  </si>
  <si>
    <t xml:space="preserve">1.1.3: ATP-ESPECIAL.03, ATP-ESPECIAL.04 
1.2.1:  ATP-ESPECIAL.07, ATP-ESPECIAL.08
1.4.2: ATP-ESPECIAL.21, ATP-ESPECIAL.22 
1.4.3: ATP-ESPECIAL.23, ATP-ESPECIAL.24
2.1.2: ATP-ESPECIAL.27, ATP-ESPECIAL.28
</t>
  </si>
  <si>
    <t>2.2.4. SUB-PRE.30, SUB-PRE.31
 2.3.3: SUB-PRE.36, SUB-PRE.37</t>
  </si>
  <si>
    <t>2.2.4: SUB-PRI.32, SUB-PRI.33
2.3.3: SUB-PRI.38, SUB-PRI.39</t>
  </si>
  <si>
    <t xml:space="preserve">1.3.3: ATP-EDUFIS.13
1.4.2: ATP-EDUFIS.17, ATP-EDUFIS.18
2.2.4: ATP-EDUFIS.31
2.4.1: ATP-EDUFIS.40, ATP-EDUFIS.41
</t>
  </si>
  <si>
    <t>2.2.1: DIR-PRE. 31
2.4.1: DIR-PRE.42</t>
  </si>
  <si>
    <t xml:space="preserve">2.2.1: DIR-PRI.31
2.4.1: DIR-PRI.42
</t>
  </si>
  <si>
    <t>1.3.2: DIR-ESP.15
2.2.1: DIR-ESP.30</t>
  </si>
  <si>
    <t>COMUN-DIR.01
COMUN-DIR.02
COMUN-DIR.03
COMUN-DIR.04
COMUN-DIR.17
COMUN-DIR.18
COMUN-DIR.21
COMUN-DIR.22
COMUN-DIR.23
COMUN-DIR.24
COMUN-DIR.25
COMUN-DIR.26
COMUN-DIR.27
COMUN-DIR.28
COMUN-DIR.29
COMUN-DIR.30
COMUN-DIR.31
COMUN-DIR.32
COMUN-DIR.33
COMUN-DIR.36
COMUN-DIR.37
COMUN-DIR.38
COMUN-DIR.39
COMUN-DIR.40
COMUN-DIR.41
COMUN-DIR.42
COMUN-DIR.43
COMUN-DIR.44
COMUN-DIR.45
COMUN-DIR.46
COMUN-DIR.47
COMUN-DIR.48
COMUN-DIR.49
COMUN-DIR.50
COMUN-DIR.51</t>
  </si>
  <si>
    <r>
      <t xml:space="preserve">ATP-LENGUA-PRIM.06
ATP-LENGUA-PRIM.23
ATP-LENGUA-PRIM.28
</t>
    </r>
    <r>
      <rPr>
        <sz val="13"/>
        <color theme="1"/>
        <rFont val="Arial Narrow"/>
        <family val="2"/>
      </rPr>
      <t xml:space="preserve">
</t>
    </r>
  </si>
  <si>
    <r>
      <t>ATP-PENSA-PRIM.03 
ATP-PENSA-PRIM.04
ATP-PENSA-PRIM.06
ATP-PENSA-PRIM.22</t>
    </r>
    <r>
      <rPr>
        <sz val="13"/>
        <color theme="1"/>
        <rFont val="Arial Narrow"/>
        <family val="2"/>
      </rPr>
      <t xml:space="preserve">
ATP-PENSA-PRIM.42</t>
    </r>
  </si>
  <si>
    <r>
      <t xml:space="preserve">
3.2.1: COMUN-SUPER.06, COMUN-SUPER.07
4.1.3: ( El indicador tuvo cambios, sin embargo no se presenta en el instrumento)
</t>
    </r>
    <r>
      <rPr>
        <sz val="13"/>
        <rFont val="Arial Narrow"/>
        <family val="2"/>
      </rPr>
      <t xml:space="preserve">
4.3.1: COMUN-SUPER.25, COMUN-SUPER.26
</t>
    </r>
    <r>
      <rPr>
        <sz val="13"/>
        <rFont val="Arial Narrow"/>
        <family val="2"/>
      </rPr>
      <t xml:space="preserve">
4.4.4: (El indicador tuvo cambios, sin embargo no se presenta en el instrumento)</t>
    </r>
  </si>
  <si>
    <r>
      <t xml:space="preserve">3.1.1: COMUN-ATP.01, COMUN-ATP.02
3.2.1: COMUN-ATP.06
</t>
    </r>
    <r>
      <rPr>
        <sz val="13"/>
        <rFont val="Arial Narrow"/>
        <family val="2"/>
      </rPr>
      <t xml:space="preserve">
4.3.1: COMUN-ATP.24, COMUN-ATP.25
4.3.2: COMUN-ATP.26,</t>
    </r>
    <r>
      <rPr>
        <sz val="13"/>
        <rFont val="Arial Narrow"/>
        <family val="2"/>
      </rPr>
      <t xml:space="preserve">
4.4.4: ( El indicador tuvo cambios, sin embargo no se presenta en el instrumento)</t>
    </r>
  </si>
  <si>
    <t>COMU_ATP.12
COMU_ATP.13
COMU_ATP.18
COMU_ATP.19
COMU_ATP.20
COMU_ATP.21
COMU_ATP.22
COMU_ATP.23
COMU_ATP.27
COMU_ATP.30
COMU_ATP.31
COMU_ATP.32
COMU_ATP.33
COMU_ATP.34
COMU_ATP.35
COMU_ATP.40
COMU_ATP.41
COMU_ATP.42
COMU_ATP.43
COMU_ATP.44
COMU_ATP.45</t>
  </si>
  <si>
    <r>
      <t xml:space="preserve">
</t>
    </r>
    <r>
      <rPr>
        <sz val="13"/>
        <color rgb="FFFF0000"/>
        <rFont val="Arial Narrow"/>
        <family val="2"/>
      </rPr>
      <t xml:space="preserve">
3.2.1: COMUN-DIR 05, COMUN-DIR 06
</t>
    </r>
    <r>
      <rPr>
        <sz val="13"/>
        <rFont val="Arial Narrow"/>
        <family val="2"/>
      </rPr>
      <t xml:space="preserve">
4.4.4:COMUN-DIR 34, COMUN-DIR 35
3.1.1: (En Acta se recomendó incluir el indicador en Examen, no está en TTV)
3.1.2: (no aplica para Coordinador de Actividades: se evalúa algo que no viene en su perfil)
5.3.2 No aplica para Coordinador de Actividades: se evalúa algo que no viene en su perfil</t>
    </r>
  </si>
  <si>
    <t>COMUN-SUPER 03
COMUN-SUPER 04
COMUN-SUPER 05
COMUN-SUPER 09
COMUN-SUPER 10
COMUN-SUPER 11
COMUN-SUPER 14
COMUN-SUPER 15
COMUN-SUPER-16
COMUN-SUPER-17
COMUN-SUPER-18
COMUN-SUPER 19
COMÚN-SUPER 20
COMUN-SUPER.23
COMUN-SUPER.24 
COMUN-SUPER.27 
COMUN-SUPER.30
COMUN-SUPER.31
COMUN-SUPER.32
COMUN-SUPER.33
COMUN-SUPER.34
COMUN-SUPER.35
COMUN-SUPER.36
COMUN-SUPER.37
COMUN-SUPER.38
COMUN-SUPER.39
COMUN-SUPER.40
COMUN-SUPER.42
COMUN-SUPER.43
COMUN-SUPER.44
COMUN-SUPER.45
COMUN-SUPER.46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</si>
</sst>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12"/>
      <color theme="1"/>
      <name val="Arial Narrow"/>
      <family val="2"/>
    </font>
    <font>
      <sz val="9"/>
      <name val="Arial Narrow"/>
      <family val="2"/>
    </font>
    <font>
      <sz val="11"/>
      <color rgb="FF9C0006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0"/>
      <name val="Arial Narrow"/>
      <family val="2"/>
    </font>
    <font>
      <sz val="11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1"/>
      <color rgb="FF000000"/>
      <name val="Arial Narrow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theme="1"/>
      <name val="Arial"/>
      <family val="2"/>
    </font>
    <font>
      <b/>
      <sz val="13"/>
      <color theme="1"/>
      <name val="Arial Narrow"/>
      <family val="2"/>
    </font>
    <font>
      <sz val="13"/>
      <color theme="1"/>
      <name val="Calibri"/>
      <family val="2"/>
      <scheme val="minor"/>
    </font>
    <font>
      <sz val="13"/>
      <color theme="1"/>
      <name val="Arial Narrow"/>
      <family val="2"/>
    </font>
    <font>
      <sz val="13"/>
      <name val="Arial Narrow"/>
      <family val="2"/>
    </font>
    <font>
      <sz val="13"/>
      <color rgb="FFFF000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99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99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283">
    <xf numFmtId="0" fontId="0" fillId="0" borderId="0" xfId="0"/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Fill="1" applyBorder="1" applyAlignment="1">
      <alignment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8" fillId="0" borderId="2" xfId="0" applyFont="1" applyBorder="1" applyAlignment="1">
      <alignment vertical="top"/>
    </xf>
    <xf numFmtId="0" fontId="8" fillId="0" borderId="2" xfId="0" applyFont="1" applyFill="1" applyBorder="1" applyAlignment="1">
      <alignment vertical="top"/>
    </xf>
    <xf numFmtId="0" fontId="8" fillId="0" borderId="2" xfId="0" applyFont="1" applyFill="1" applyBorder="1" applyAlignment="1">
      <alignment vertical="top" wrapText="1"/>
    </xf>
    <xf numFmtId="0" fontId="9" fillId="0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vertical="top" wrapText="1"/>
    </xf>
    <xf numFmtId="49" fontId="0" fillId="0" borderId="1" xfId="0" applyNumberFormat="1" applyBorder="1" applyAlignment="1">
      <alignment horizontal="center" vertical="top"/>
    </xf>
    <xf numFmtId="49" fontId="8" fillId="0" borderId="1" xfId="0" applyNumberFormat="1" applyFont="1" applyBorder="1" applyAlignment="1">
      <alignment vertical="top"/>
    </xf>
    <xf numFmtId="49" fontId="8" fillId="0" borderId="1" xfId="0" applyNumberFormat="1" applyFont="1" applyBorder="1" applyAlignment="1">
      <alignment horizontal="center" vertical="top"/>
    </xf>
    <xf numFmtId="9" fontId="8" fillId="0" borderId="1" xfId="1" applyFont="1" applyFill="1" applyBorder="1" applyAlignment="1">
      <alignment horizontal="center" vertical="top"/>
    </xf>
    <xf numFmtId="49" fontId="0" fillId="0" borderId="1" xfId="0" applyNumberFormat="1" applyFill="1" applyBorder="1" applyAlignment="1">
      <alignment horizontal="center" vertical="top"/>
    </xf>
    <xf numFmtId="0" fontId="8" fillId="3" borderId="9" xfId="0" applyFont="1" applyFill="1" applyBorder="1" applyAlignment="1">
      <alignment vertical="top" wrapText="1"/>
    </xf>
    <xf numFmtId="2" fontId="8" fillId="0" borderId="1" xfId="0" applyNumberFormat="1" applyFont="1" applyBorder="1" applyAlignment="1">
      <alignment horizontal="center" vertical="top"/>
    </xf>
    <xf numFmtId="0" fontId="8" fillId="0" borderId="1" xfId="0" applyNumberFormat="1" applyFont="1" applyBorder="1" applyAlignment="1">
      <alignment horizontal="center" vertical="top"/>
    </xf>
    <xf numFmtId="0" fontId="0" fillId="0" borderId="0" xfId="0" applyFont="1"/>
    <xf numFmtId="0" fontId="7" fillId="0" borderId="8" xfId="0" applyFont="1" applyFill="1" applyBorder="1" applyAlignment="1">
      <alignment vertical="top" wrapText="1"/>
    </xf>
    <xf numFmtId="9" fontId="0" fillId="0" borderId="0" xfId="1" applyFont="1"/>
    <xf numFmtId="9" fontId="11" fillId="0" borderId="1" xfId="1" applyFont="1" applyFill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49" fontId="8" fillId="0" borderId="1" xfId="2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/>
    <xf numFmtId="0" fontId="1" fillId="0" borderId="1" xfId="0" applyFont="1" applyBorder="1"/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wrapText="1"/>
    </xf>
    <xf numFmtId="9" fontId="8" fillId="0" borderId="2" xfId="1" applyFont="1" applyBorder="1" applyAlignment="1">
      <alignment horizontal="center" wrapText="1"/>
    </xf>
    <xf numFmtId="0" fontId="8" fillId="0" borderId="2" xfId="1" applyNumberFormat="1" applyFont="1" applyBorder="1" applyAlignment="1">
      <alignment horizontal="center" wrapText="1"/>
    </xf>
    <xf numFmtId="0" fontId="8" fillId="0" borderId="1" xfId="1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right" vertical="center" wrapText="1"/>
    </xf>
    <xf numFmtId="9" fontId="8" fillId="0" borderId="2" xfId="1" applyFont="1" applyBorder="1" applyAlignment="1">
      <alignment horizontal="center" vertical="center" wrapText="1"/>
    </xf>
    <xf numFmtId="0" fontId="8" fillId="0" borderId="2" xfId="1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9" fontId="8" fillId="0" borderId="1" xfId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9" fontId="8" fillId="0" borderId="1" xfId="1" applyFont="1" applyBorder="1" applyAlignment="1">
      <alignment horizontal="center" wrapText="1"/>
    </xf>
    <xf numFmtId="0" fontId="8" fillId="0" borderId="1" xfId="0" applyNumberFormat="1" applyFont="1" applyBorder="1" applyAlignment="1">
      <alignment horizontal="center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/>
    </xf>
    <xf numFmtId="0" fontId="7" fillId="3" borderId="1" xfId="0" applyNumberFormat="1" applyFont="1" applyFill="1" applyBorder="1" applyAlignment="1">
      <alignment horizontal="center" wrapText="1"/>
    </xf>
    <xf numFmtId="49" fontId="9" fillId="0" borderId="1" xfId="2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8" fillId="0" borderId="0" xfId="0" applyFont="1"/>
    <xf numFmtId="9" fontId="9" fillId="0" borderId="1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/>
    <xf numFmtId="0" fontId="8" fillId="3" borderId="2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center" vertical="center" wrapText="1" readingOrder="1"/>
    </xf>
    <xf numFmtId="0" fontId="8" fillId="0" borderId="6" xfId="0" applyFont="1" applyBorder="1" applyAlignment="1">
      <alignment horizontal="center" vertical="center" wrapText="1"/>
    </xf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9" fontId="8" fillId="0" borderId="1" xfId="1" applyFont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right" wrapText="1"/>
    </xf>
    <xf numFmtId="0" fontId="8" fillId="0" borderId="0" xfId="0" applyFont="1" applyBorder="1"/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8" fillId="0" borderId="0" xfId="0" applyFont="1" applyBorder="1" applyAlignment="1">
      <alignment vertical="center" wrapText="1"/>
    </xf>
    <xf numFmtId="0" fontId="19" fillId="0" borderId="0" xfId="0" applyFont="1" applyAlignment="1">
      <alignment wrapText="1"/>
    </xf>
    <xf numFmtId="0" fontId="20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20" fillId="0" borderId="1" xfId="0" applyFont="1" applyBorder="1" applyAlignment="1">
      <alignment horizontal="center" vertical="center"/>
    </xf>
    <xf numFmtId="0" fontId="0" fillId="0" borderId="0" xfId="0" applyFill="1"/>
    <xf numFmtId="0" fontId="19" fillId="0" borderId="1" xfId="0" applyFont="1" applyBorder="1" applyAlignment="1">
      <alignment horizontal="center" wrapText="1"/>
    </xf>
    <xf numFmtId="0" fontId="19" fillId="8" borderId="1" xfId="0" applyFont="1" applyFill="1" applyBorder="1" applyAlignment="1">
      <alignment vertical="center" wrapText="1"/>
    </xf>
    <xf numFmtId="0" fontId="19" fillId="8" borderId="0" xfId="0" applyFont="1" applyFill="1" applyAlignment="1">
      <alignment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22" fillId="10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2" fillId="4" borderId="1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8" fillId="0" borderId="6" xfId="0" applyFont="1" applyBorder="1" applyAlignment="1">
      <alignment horizontal="left" vertical="center" wrapText="1"/>
    </xf>
    <xf numFmtId="9" fontId="8" fillId="0" borderId="6" xfId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5" fillId="0" borderId="1" xfId="0" applyFont="1" applyFill="1" applyBorder="1" applyAlignment="1"/>
    <xf numFmtId="0" fontId="15" fillId="0" borderId="1" xfId="0" applyFont="1" applyBorder="1" applyAlignment="1">
      <alignment wrapText="1"/>
    </xf>
    <xf numFmtId="0" fontId="15" fillId="10" borderId="1" xfId="0" applyFont="1" applyFill="1" applyBorder="1" applyAlignment="1">
      <alignment wrapText="1"/>
    </xf>
    <xf numFmtId="0" fontId="15" fillId="11" borderId="1" xfId="0" applyFont="1" applyFill="1" applyBorder="1" applyAlignment="1">
      <alignment wrapText="1"/>
    </xf>
    <xf numFmtId="0" fontId="15" fillId="8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5" fillId="12" borderId="1" xfId="0" applyFont="1" applyFill="1" applyBorder="1" applyAlignment="1">
      <alignment wrapText="1"/>
    </xf>
    <xf numFmtId="0" fontId="0" fillId="0" borderId="0" xfId="0" applyAlignment="1"/>
    <xf numFmtId="0" fontId="15" fillId="0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6" fillId="0" borderId="0" xfId="0" applyFont="1"/>
    <xf numFmtId="0" fontId="25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9" fontId="27" fillId="0" borderId="1" xfId="1" applyFont="1" applyFill="1" applyBorder="1" applyAlignment="1">
      <alignment horizontal="center" vertical="center"/>
    </xf>
    <xf numFmtId="49" fontId="27" fillId="0" borderId="1" xfId="2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5" xfId="0" applyFont="1" applyBorder="1" applyAlignment="1">
      <alignment horizontal="left" vertical="top" wrapText="1"/>
    </xf>
    <xf numFmtId="9" fontId="27" fillId="0" borderId="3" xfId="1" applyFont="1" applyFill="1" applyBorder="1" applyAlignment="1">
      <alignment horizontal="center" vertical="center" wrapText="1"/>
    </xf>
    <xf numFmtId="0" fontId="27" fillId="0" borderId="1" xfId="2" applyNumberFormat="1" applyFont="1" applyFill="1" applyBorder="1" applyAlignment="1">
      <alignment horizontal="center" vertical="center"/>
    </xf>
    <xf numFmtId="9" fontId="27" fillId="0" borderId="3" xfId="2" applyNumberFormat="1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left" vertical="top"/>
    </xf>
    <xf numFmtId="0" fontId="27" fillId="0" borderId="16" xfId="0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left" vertical="top" wrapText="1"/>
    </xf>
    <xf numFmtId="0" fontId="27" fillId="0" borderId="15" xfId="0" applyFont="1" applyFill="1" applyBorder="1" applyAlignment="1">
      <alignment horizontal="center" vertical="center"/>
    </xf>
    <xf numFmtId="0" fontId="27" fillId="0" borderId="3" xfId="0" applyNumberFormat="1" applyFon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 wrapText="1"/>
    </xf>
    <xf numFmtId="0" fontId="27" fillId="3" borderId="16" xfId="0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8" fillId="0" borderId="17" xfId="0" applyFont="1" applyBorder="1" applyAlignment="1">
      <alignment horizontal="left" vertical="top" wrapText="1"/>
    </xf>
    <xf numFmtId="0" fontId="27" fillId="0" borderId="0" xfId="0" applyFont="1"/>
    <xf numFmtId="0" fontId="26" fillId="0" borderId="0" xfId="0" applyFont="1" applyAlignment="1">
      <alignment horizontal="center"/>
    </xf>
    <xf numFmtId="0" fontId="25" fillId="3" borderId="1" xfId="0" applyNumberFormat="1" applyFont="1" applyFill="1" applyBorder="1" applyAlignment="1">
      <alignment horizontal="right" wrapText="1"/>
    </xf>
    <xf numFmtId="0" fontId="25" fillId="3" borderId="1" xfId="0" applyNumberFormat="1" applyFont="1" applyFill="1" applyBorder="1" applyAlignment="1">
      <alignment horizontal="center" wrapText="1"/>
    </xf>
    <xf numFmtId="0" fontId="27" fillId="0" borderId="9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27" fillId="0" borderId="1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8" fillId="0" borderId="15" xfId="0" applyFont="1" applyBorder="1" applyAlignment="1">
      <alignment horizontal="left" vertical="top" wrapText="1"/>
    </xf>
    <xf numFmtId="0" fontId="28" fillId="0" borderId="16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5" fillId="2" borderId="19" xfId="0" applyFont="1" applyFill="1" applyBorder="1" applyAlignment="1">
      <alignment horizontal="center" vertical="center" wrapText="1"/>
    </xf>
    <xf numFmtId="0" fontId="28" fillId="0" borderId="25" xfId="0" applyFont="1" applyBorder="1" applyAlignment="1">
      <alignment horizontal="left" vertical="top" wrapText="1"/>
    </xf>
    <xf numFmtId="0" fontId="28" fillId="0" borderId="27" xfId="0" applyFont="1" applyBorder="1" applyAlignment="1">
      <alignment horizontal="left" vertical="top" wrapText="1"/>
    </xf>
    <xf numFmtId="0" fontId="27" fillId="0" borderId="26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7" fillId="0" borderId="6" xfId="0" applyFont="1" applyBorder="1" applyAlignment="1">
      <alignment vertical="center" wrapText="1"/>
    </xf>
    <xf numFmtId="0" fontId="27" fillId="0" borderId="5" xfId="0" applyFont="1" applyBorder="1" applyAlignment="1">
      <alignment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5" fillId="2" borderId="0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21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vertical="center"/>
    </xf>
    <xf numFmtId="0" fontId="25" fillId="2" borderId="5" xfId="0" applyFont="1" applyFill="1" applyBorder="1" applyAlignment="1">
      <alignment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5" fillId="2" borderId="23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0" fillId="2" borderId="7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 readingOrder="1"/>
    </xf>
    <xf numFmtId="0" fontId="13" fillId="7" borderId="2" xfId="0" applyFont="1" applyFill="1" applyBorder="1" applyAlignment="1">
      <alignment horizontal="center" vertical="center" wrapText="1" readingOrder="1"/>
    </xf>
    <xf numFmtId="0" fontId="13" fillId="7" borderId="3" xfId="0" applyFont="1" applyFill="1" applyBorder="1" applyAlignment="1">
      <alignment horizontal="center" vertical="center" wrapText="1" readingOrder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top"/>
    </xf>
    <xf numFmtId="0" fontId="8" fillId="0" borderId="7" xfId="0" applyNumberFormat="1" applyFont="1" applyBorder="1" applyAlignment="1">
      <alignment horizontal="center" vertical="top"/>
    </xf>
    <xf numFmtId="0" fontId="8" fillId="0" borderId="3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27" fillId="3" borderId="15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27" fillId="3" borderId="15" xfId="0" applyFont="1" applyFill="1" applyBorder="1" applyAlignment="1">
      <alignment horizontal="left" vertical="top" wrapText="1"/>
    </xf>
    <xf numFmtId="0" fontId="28" fillId="3" borderId="16" xfId="0" applyFont="1" applyFill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27" fillId="3" borderId="25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26" xfId="0" applyFont="1" applyFill="1" applyBorder="1" applyAlignment="1">
      <alignment horizontal="center" vertical="center"/>
    </xf>
    <xf numFmtId="0" fontId="28" fillId="3" borderId="25" xfId="0" applyFont="1" applyFill="1" applyBorder="1" applyAlignment="1">
      <alignment horizontal="left" vertical="top" wrapText="1"/>
    </xf>
    <xf numFmtId="0" fontId="28" fillId="3" borderId="26" xfId="0" applyFont="1" applyFill="1" applyBorder="1" applyAlignment="1">
      <alignment horizontal="center" vertical="center"/>
    </xf>
    <xf numFmtId="0" fontId="28" fillId="3" borderId="25" xfId="0" applyFont="1" applyFill="1" applyBorder="1" applyAlignment="1">
      <alignment horizontal="center" vertical="center"/>
    </xf>
    <xf numFmtId="0" fontId="27" fillId="3" borderId="27" xfId="0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/>
    </xf>
    <xf numFmtId="0" fontId="28" fillId="3" borderId="27" xfId="0" applyFont="1" applyFill="1" applyBorder="1" applyAlignment="1">
      <alignment horizontal="left" vertical="top" wrapText="1"/>
    </xf>
    <xf numFmtId="0" fontId="28" fillId="3" borderId="23" xfId="0" applyFont="1" applyFill="1" applyBorder="1" applyAlignment="1">
      <alignment horizontal="center" vertical="center"/>
    </xf>
    <xf numFmtId="0" fontId="28" fillId="3" borderId="27" xfId="0" applyFont="1" applyFill="1" applyBorder="1" applyAlignment="1">
      <alignment horizontal="center" vertical="center"/>
    </xf>
  </cellXfs>
  <cellStyles count="3">
    <cellStyle name="Incorrecto" xfId="2" builtinId="27"/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"/>
  <sheetViews>
    <sheetView tabSelected="1" topLeftCell="B1" zoomScale="60" zoomScaleNormal="60" zoomScaleSheetLayoutView="50" workbookViewId="0">
      <pane ySplit="3" topLeftCell="A25" activePane="bottomLeft" state="frozen"/>
      <selection pane="bottomLeft" activeCell="H26" sqref="H26"/>
    </sheetView>
  </sheetViews>
  <sheetFormatPr baseColWidth="10" defaultRowHeight="17.25" x14ac:dyDescent="0.3"/>
  <cols>
    <col min="1" max="1" width="8.28515625" style="132" customWidth="1"/>
    <col min="2" max="2" width="34.7109375" style="164" customWidth="1"/>
    <col min="3" max="3" width="27.85546875" style="169" customWidth="1"/>
    <col min="4" max="4" width="25.85546875" style="132" customWidth="1"/>
    <col min="5" max="5" width="27.140625" style="132" customWidth="1"/>
    <col min="6" max="6" width="13.7109375" style="132" customWidth="1"/>
    <col min="7" max="7" width="46.42578125" style="132" customWidth="1"/>
    <col min="8" max="8" width="14.42578125" style="132" customWidth="1"/>
    <col min="9" max="9" width="17" style="140" customWidth="1"/>
    <col min="10" max="10" width="24" style="132" hidden="1" customWidth="1"/>
    <col min="11" max="11" width="19.7109375" style="132" hidden="1" customWidth="1"/>
    <col min="12" max="12" width="24.28515625" style="159" hidden="1" customWidth="1"/>
    <col min="13" max="14" width="19.7109375" style="132" hidden="1" customWidth="1"/>
    <col min="15" max="15" width="24" style="132" hidden="1" customWidth="1"/>
    <col min="16" max="16384" width="11.42578125" style="132"/>
  </cols>
  <sheetData>
    <row r="1" spans="1:15" ht="18" thickBot="1" x14ac:dyDescent="0.35">
      <c r="A1" s="191" t="s">
        <v>311</v>
      </c>
      <c r="B1" s="191"/>
      <c r="C1" s="191"/>
      <c r="D1" s="191"/>
      <c r="E1" s="191"/>
      <c r="F1" s="191"/>
      <c r="G1" s="191"/>
      <c r="H1" s="191"/>
      <c r="I1" s="191"/>
      <c r="J1" s="192"/>
      <c r="K1" s="192"/>
      <c r="L1" s="192"/>
      <c r="M1" s="192"/>
      <c r="N1" s="192"/>
      <c r="O1" s="192"/>
    </row>
    <row r="2" spans="1:15" ht="15.75" customHeight="1" x14ac:dyDescent="0.3">
      <c r="A2" s="200" t="s">
        <v>82</v>
      </c>
      <c r="B2" s="195" t="s">
        <v>0</v>
      </c>
      <c r="C2" s="193" t="s">
        <v>1</v>
      </c>
      <c r="D2" s="203" t="s">
        <v>467</v>
      </c>
      <c r="E2" s="205" t="s">
        <v>470</v>
      </c>
      <c r="F2" s="206"/>
      <c r="G2" s="207" t="s">
        <v>468</v>
      </c>
      <c r="H2" s="208"/>
      <c r="I2" s="176" t="s">
        <v>490</v>
      </c>
      <c r="J2" s="197" t="s">
        <v>3</v>
      </c>
      <c r="K2" s="198"/>
      <c r="L2" s="202" t="s">
        <v>6</v>
      </c>
      <c r="M2" s="202" t="s">
        <v>7</v>
      </c>
      <c r="N2" s="199" t="s">
        <v>10</v>
      </c>
      <c r="O2" s="198"/>
    </row>
    <row r="3" spans="1:15" ht="90" customHeight="1" x14ac:dyDescent="0.3">
      <c r="A3" s="201"/>
      <c r="B3" s="196"/>
      <c r="C3" s="194"/>
      <c r="D3" s="204"/>
      <c r="E3" s="133" t="s">
        <v>469</v>
      </c>
      <c r="F3" s="134" t="s">
        <v>194</v>
      </c>
      <c r="G3" s="133" t="s">
        <v>486</v>
      </c>
      <c r="H3" s="134" t="s">
        <v>194</v>
      </c>
      <c r="I3" s="133" t="s">
        <v>491</v>
      </c>
      <c r="J3" s="141" t="s">
        <v>4</v>
      </c>
      <c r="K3" s="135" t="s">
        <v>5</v>
      </c>
      <c r="L3" s="194"/>
      <c r="M3" s="194"/>
      <c r="N3" s="135" t="s">
        <v>9</v>
      </c>
      <c r="O3" s="135" t="s">
        <v>173</v>
      </c>
    </row>
    <row r="4" spans="1:15" ht="50.25" customHeight="1" x14ac:dyDescent="0.3">
      <c r="A4" s="142">
        <v>1</v>
      </c>
      <c r="B4" s="165" t="s">
        <v>12</v>
      </c>
      <c r="C4" s="163" t="s">
        <v>13</v>
      </c>
      <c r="D4" s="143">
        <v>48</v>
      </c>
      <c r="E4" s="144" t="s">
        <v>475</v>
      </c>
      <c r="F4" s="143">
        <v>2</v>
      </c>
      <c r="G4" s="170" t="s">
        <v>507</v>
      </c>
      <c r="H4" s="171">
        <v>2</v>
      </c>
      <c r="I4" s="172">
        <v>4</v>
      </c>
      <c r="J4" s="145">
        <v>1.4084507042253521E-2</v>
      </c>
      <c r="K4" s="136">
        <v>1.4084507042253521E-2</v>
      </c>
      <c r="L4" s="137" t="s">
        <v>118</v>
      </c>
      <c r="M4" s="139">
        <v>51</v>
      </c>
      <c r="N4" s="138"/>
      <c r="O4" s="146">
        <v>1</v>
      </c>
    </row>
    <row r="5" spans="1:15" ht="51.75" x14ac:dyDescent="0.3">
      <c r="A5" s="142">
        <v>2</v>
      </c>
      <c r="B5" s="165" t="s">
        <v>12</v>
      </c>
      <c r="C5" s="163" t="s">
        <v>14</v>
      </c>
      <c r="D5" s="143">
        <v>48</v>
      </c>
      <c r="E5" s="144" t="s">
        <v>476</v>
      </c>
      <c r="F5" s="143">
        <v>3</v>
      </c>
      <c r="G5" s="170" t="s">
        <v>508</v>
      </c>
      <c r="H5" s="171">
        <v>2</v>
      </c>
      <c r="I5" s="172">
        <v>5</v>
      </c>
      <c r="J5" s="147">
        <v>0.14084507042253522</v>
      </c>
      <c r="K5" s="136">
        <v>0</v>
      </c>
      <c r="L5" s="137" t="s">
        <v>124</v>
      </c>
      <c r="M5" s="139">
        <v>51</v>
      </c>
      <c r="N5" s="138"/>
      <c r="O5" s="146">
        <v>1</v>
      </c>
    </row>
    <row r="6" spans="1:15" ht="57.75" customHeight="1" x14ac:dyDescent="0.3">
      <c r="A6" s="142">
        <v>3</v>
      </c>
      <c r="B6" s="165" t="s">
        <v>12</v>
      </c>
      <c r="C6" s="163" t="s">
        <v>471</v>
      </c>
      <c r="D6" s="143">
        <v>47</v>
      </c>
      <c r="E6" s="144" t="s">
        <v>492</v>
      </c>
      <c r="F6" s="143">
        <v>1</v>
      </c>
      <c r="G6" s="170" t="s">
        <v>509</v>
      </c>
      <c r="H6" s="171">
        <v>2</v>
      </c>
      <c r="I6" s="173">
        <v>3</v>
      </c>
      <c r="J6" s="145">
        <v>5.7142857142857141E-2</v>
      </c>
      <c r="K6" s="136">
        <v>2.8571428571428571E-2</v>
      </c>
      <c r="L6" s="137" t="s">
        <v>125</v>
      </c>
      <c r="M6" s="139">
        <v>50</v>
      </c>
      <c r="N6" s="138"/>
      <c r="O6" s="146">
        <v>1</v>
      </c>
    </row>
    <row r="7" spans="1:15" ht="102.75" customHeight="1" x14ac:dyDescent="0.3">
      <c r="A7" s="142">
        <v>4</v>
      </c>
      <c r="B7" s="165" t="s">
        <v>12</v>
      </c>
      <c r="C7" s="163" t="s">
        <v>472</v>
      </c>
      <c r="D7" s="143">
        <v>37</v>
      </c>
      <c r="E7" s="144" t="s">
        <v>477</v>
      </c>
      <c r="F7" s="143">
        <v>2</v>
      </c>
      <c r="G7" s="144" t="s">
        <v>504</v>
      </c>
      <c r="H7" s="143">
        <v>4</v>
      </c>
      <c r="I7" s="142">
        <v>6</v>
      </c>
      <c r="J7" s="145">
        <v>1.0752688172043012E-2</v>
      </c>
      <c r="K7" s="136">
        <v>3.2258064516129031E-2</v>
      </c>
      <c r="L7" s="137" t="s">
        <v>117</v>
      </c>
      <c r="M7" s="139">
        <v>73</v>
      </c>
      <c r="N7" s="138"/>
      <c r="O7" s="146">
        <v>1</v>
      </c>
    </row>
    <row r="8" spans="1:15" ht="66.75" customHeight="1" x14ac:dyDescent="0.3">
      <c r="A8" s="142">
        <v>5</v>
      </c>
      <c r="B8" s="165" t="s">
        <v>12</v>
      </c>
      <c r="C8" s="163" t="s">
        <v>473</v>
      </c>
      <c r="D8" s="143">
        <v>39</v>
      </c>
      <c r="E8" s="148" t="s">
        <v>478</v>
      </c>
      <c r="F8" s="143">
        <v>1</v>
      </c>
      <c r="G8" s="144" t="s">
        <v>505</v>
      </c>
      <c r="H8" s="143">
        <v>4</v>
      </c>
      <c r="I8" s="142">
        <v>5</v>
      </c>
      <c r="J8" s="145">
        <v>1.1627906976744186E-2</v>
      </c>
      <c r="K8" s="136">
        <v>3.4883720930232558E-2</v>
      </c>
      <c r="L8" s="137" t="s">
        <v>121</v>
      </c>
      <c r="M8" s="139">
        <v>66</v>
      </c>
      <c r="N8" s="138"/>
      <c r="O8" s="146">
        <v>1</v>
      </c>
    </row>
    <row r="9" spans="1:15" ht="127.5" customHeight="1" x14ac:dyDescent="0.3">
      <c r="A9" s="142">
        <v>6</v>
      </c>
      <c r="B9" s="165" t="s">
        <v>12</v>
      </c>
      <c r="C9" s="163" t="s">
        <v>15</v>
      </c>
      <c r="D9" s="143">
        <v>46</v>
      </c>
      <c r="E9" s="144" t="s">
        <v>479</v>
      </c>
      <c r="F9" s="143">
        <v>6</v>
      </c>
      <c r="G9" s="144" t="s">
        <v>487</v>
      </c>
      <c r="H9" s="143">
        <v>2</v>
      </c>
      <c r="I9" s="142">
        <v>8</v>
      </c>
      <c r="J9" s="145">
        <v>0</v>
      </c>
      <c r="K9" s="136">
        <v>0</v>
      </c>
      <c r="L9" s="137" t="s">
        <v>128</v>
      </c>
      <c r="M9" s="139">
        <v>50</v>
      </c>
      <c r="N9" s="138"/>
      <c r="O9" s="146">
        <v>1</v>
      </c>
    </row>
    <row r="10" spans="1:15" ht="124.5" customHeight="1" x14ac:dyDescent="0.3">
      <c r="A10" s="142">
        <v>7</v>
      </c>
      <c r="B10" s="165" t="s">
        <v>12</v>
      </c>
      <c r="C10" s="167" t="s">
        <v>16</v>
      </c>
      <c r="D10" s="149">
        <v>46</v>
      </c>
      <c r="E10" s="150" t="s">
        <v>480</v>
      </c>
      <c r="F10" s="149">
        <v>6</v>
      </c>
      <c r="G10" s="144" t="s">
        <v>488</v>
      </c>
      <c r="H10" s="149">
        <v>2</v>
      </c>
      <c r="I10" s="151">
        <v>8</v>
      </c>
      <c r="J10" s="145">
        <v>0</v>
      </c>
      <c r="K10" s="136">
        <v>0</v>
      </c>
      <c r="L10" s="137" t="s">
        <v>131</v>
      </c>
      <c r="M10" s="139">
        <v>50</v>
      </c>
      <c r="N10" s="138"/>
      <c r="O10" s="146">
        <v>1</v>
      </c>
    </row>
    <row r="11" spans="1:15" ht="99.75" customHeight="1" x14ac:dyDescent="0.3">
      <c r="A11" s="142">
        <v>8</v>
      </c>
      <c r="B11" s="165" t="s">
        <v>12</v>
      </c>
      <c r="C11" s="163" t="s">
        <v>17</v>
      </c>
      <c r="D11" s="143">
        <v>49</v>
      </c>
      <c r="E11" s="144" t="s">
        <v>481</v>
      </c>
      <c r="F11" s="143">
        <v>3</v>
      </c>
      <c r="G11" s="144" t="s">
        <v>496</v>
      </c>
      <c r="H11" s="143">
        <v>4</v>
      </c>
      <c r="I11" s="142">
        <v>7</v>
      </c>
      <c r="J11" s="145">
        <v>0</v>
      </c>
      <c r="K11" s="136">
        <v>0</v>
      </c>
      <c r="L11" s="137" t="s">
        <v>122</v>
      </c>
      <c r="M11" s="139">
        <v>51</v>
      </c>
      <c r="N11" s="138"/>
      <c r="O11" s="146">
        <v>1</v>
      </c>
    </row>
    <row r="12" spans="1:15" ht="90.75" customHeight="1" x14ac:dyDescent="0.3">
      <c r="A12" s="142">
        <v>9</v>
      </c>
      <c r="B12" s="165" t="s">
        <v>12</v>
      </c>
      <c r="C12" s="163" t="s">
        <v>18</v>
      </c>
      <c r="D12" s="143">
        <v>46</v>
      </c>
      <c r="E12" s="144" t="s">
        <v>482</v>
      </c>
      <c r="F12" s="143">
        <v>4</v>
      </c>
      <c r="G12" s="144" t="s">
        <v>497</v>
      </c>
      <c r="H12" s="143">
        <v>4</v>
      </c>
      <c r="I12" s="142">
        <v>8</v>
      </c>
      <c r="J12" s="145">
        <v>5.7142857142857141E-2</v>
      </c>
      <c r="K12" s="136">
        <v>1.4285714285714285E-2</v>
      </c>
      <c r="L12" s="137" t="s">
        <v>129</v>
      </c>
      <c r="M12" s="139">
        <v>50</v>
      </c>
      <c r="N12" s="138"/>
      <c r="O12" s="146">
        <v>1</v>
      </c>
    </row>
    <row r="13" spans="1:15" ht="143.25" customHeight="1" x14ac:dyDescent="0.3">
      <c r="A13" s="142">
        <v>10</v>
      </c>
      <c r="B13" s="165" t="s">
        <v>12</v>
      </c>
      <c r="C13" s="163" t="s">
        <v>19</v>
      </c>
      <c r="D13" s="143">
        <v>57</v>
      </c>
      <c r="E13" s="144" t="s">
        <v>484</v>
      </c>
      <c r="F13" s="143">
        <v>7</v>
      </c>
      <c r="G13" s="144"/>
      <c r="H13" s="143">
        <v>0</v>
      </c>
      <c r="I13" s="142">
        <v>7</v>
      </c>
      <c r="J13" s="145">
        <v>0</v>
      </c>
      <c r="K13" s="136">
        <v>0</v>
      </c>
      <c r="L13" s="137" t="s">
        <v>132</v>
      </c>
      <c r="M13" s="139">
        <v>57</v>
      </c>
      <c r="N13" s="138"/>
      <c r="O13" s="146">
        <v>1</v>
      </c>
    </row>
    <row r="14" spans="1:15" ht="124.5" customHeight="1" x14ac:dyDescent="0.3">
      <c r="A14" s="142">
        <v>11</v>
      </c>
      <c r="B14" s="165" t="s">
        <v>12</v>
      </c>
      <c r="C14" s="163" t="s">
        <v>20</v>
      </c>
      <c r="D14" s="143">
        <v>46</v>
      </c>
      <c r="E14" s="144" t="s">
        <v>483</v>
      </c>
      <c r="F14" s="143">
        <v>6</v>
      </c>
      <c r="G14" s="144"/>
      <c r="H14" s="143">
        <v>0</v>
      </c>
      <c r="I14" s="142">
        <v>6</v>
      </c>
      <c r="J14" s="147">
        <v>0.10294117647058823</v>
      </c>
      <c r="K14" s="136">
        <v>4.4117647058823532E-2</v>
      </c>
      <c r="L14" s="137" t="s">
        <v>131</v>
      </c>
      <c r="M14" s="139">
        <v>48</v>
      </c>
      <c r="N14" s="138"/>
      <c r="O14" s="146">
        <v>1</v>
      </c>
    </row>
    <row r="15" spans="1:15" ht="69" x14ac:dyDescent="0.3">
      <c r="A15" s="142">
        <v>12</v>
      </c>
      <c r="B15" s="165" t="s">
        <v>12</v>
      </c>
      <c r="C15" s="163" t="s">
        <v>474</v>
      </c>
      <c r="D15" s="143">
        <v>40</v>
      </c>
      <c r="E15" s="144" t="s">
        <v>493</v>
      </c>
      <c r="F15" s="143">
        <v>4</v>
      </c>
      <c r="G15" s="144" t="s">
        <v>489</v>
      </c>
      <c r="H15" s="143">
        <v>2</v>
      </c>
      <c r="I15" s="142">
        <v>6</v>
      </c>
      <c r="J15" s="152" t="s">
        <v>171</v>
      </c>
      <c r="K15" s="138" t="s">
        <v>171</v>
      </c>
      <c r="L15" s="139" t="s">
        <v>111</v>
      </c>
      <c r="M15" s="138" t="s">
        <v>171</v>
      </c>
      <c r="N15" s="138"/>
      <c r="O15" s="146">
        <v>1</v>
      </c>
    </row>
    <row r="16" spans="1:15" ht="169.5" customHeight="1" x14ac:dyDescent="0.3">
      <c r="A16" s="142">
        <v>13</v>
      </c>
      <c r="B16" s="165" t="s">
        <v>12</v>
      </c>
      <c r="C16" s="167" t="s">
        <v>21</v>
      </c>
      <c r="D16" s="153">
        <v>50</v>
      </c>
      <c r="E16" s="150" t="s">
        <v>494</v>
      </c>
      <c r="F16" s="153">
        <v>2</v>
      </c>
      <c r="G16" s="144" t="s">
        <v>498</v>
      </c>
      <c r="H16" s="153">
        <v>6</v>
      </c>
      <c r="I16" s="174">
        <v>8</v>
      </c>
      <c r="J16" s="145">
        <v>4.3478260869565216E-2</v>
      </c>
      <c r="K16" s="136">
        <v>0</v>
      </c>
      <c r="L16" s="137" t="s">
        <v>133</v>
      </c>
      <c r="M16" s="139">
        <v>49</v>
      </c>
      <c r="N16" s="138"/>
      <c r="O16" s="146">
        <v>1</v>
      </c>
    </row>
    <row r="17" spans="1:15" ht="231" customHeight="1" x14ac:dyDescent="0.3">
      <c r="A17" s="142">
        <v>14</v>
      </c>
      <c r="B17" s="165" t="s">
        <v>12</v>
      </c>
      <c r="C17" s="167" t="s">
        <v>22</v>
      </c>
      <c r="D17" s="153">
        <v>53</v>
      </c>
      <c r="E17" s="150" t="s">
        <v>495</v>
      </c>
      <c r="F17" s="153">
        <v>2</v>
      </c>
      <c r="G17" s="144" t="s">
        <v>499</v>
      </c>
      <c r="H17" s="154">
        <v>8</v>
      </c>
      <c r="I17" s="174">
        <v>10</v>
      </c>
      <c r="J17" s="147">
        <v>0.13</v>
      </c>
      <c r="K17" s="136">
        <v>0</v>
      </c>
      <c r="L17" s="137" t="s">
        <v>119</v>
      </c>
      <c r="M17" s="138">
        <v>55</v>
      </c>
      <c r="N17" s="138"/>
      <c r="O17" s="146">
        <v>1</v>
      </c>
    </row>
    <row r="18" spans="1:15" ht="159" customHeight="1" x14ac:dyDescent="0.3">
      <c r="A18" s="263">
        <v>15</v>
      </c>
      <c r="B18" s="264" t="s">
        <v>12</v>
      </c>
      <c r="C18" s="265" t="s">
        <v>23</v>
      </c>
      <c r="D18" s="154">
        <v>50</v>
      </c>
      <c r="E18" s="266" t="s">
        <v>511</v>
      </c>
      <c r="F18" s="267">
        <v>3</v>
      </c>
      <c r="G18" s="266" t="s">
        <v>500</v>
      </c>
      <c r="H18" s="154">
        <v>5</v>
      </c>
      <c r="I18" s="268">
        <v>8</v>
      </c>
      <c r="J18" s="145">
        <v>0</v>
      </c>
      <c r="K18" s="136">
        <v>0.03</v>
      </c>
      <c r="L18" s="137" t="s">
        <v>130</v>
      </c>
      <c r="M18" s="138">
        <v>50</v>
      </c>
      <c r="N18" s="138"/>
      <c r="O18" s="146">
        <v>1</v>
      </c>
    </row>
    <row r="19" spans="1:15" ht="198" customHeight="1" x14ac:dyDescent="0.3">
      <c r="A19" s="263">
        <v>16</v>
      </c>
      <c r="B19" s="264" t="s">
        <v>12</v>
      </c>
      <c r="C19" s="265" t="s">
        <v>24</v>
      </c>
      <c r="D19" s="154">
        <v>51</v>
      </c>
      <c r="E19" s="266" t="s">
        <v>512</v>
      </c>
      <c r="F19" s="267">
        <v>5</v>
      </c>
      <c r="G19" s="266" t="s">
        <v>501</v>
      </c>
      <c r="H19" s="154">
        <v>6</v>
      </c>
      <c r="I19" s="268">
        <v>11</v>
      </c>
      <c r="J19" s="145">
        <v>0</v>
      </c>
      <c r="K19" s="136">
        <v>0</v>
      </c>
      <c r="L19" s="137" t="s">
        <v>134</v>
      </c>
      <c r="M19" s="138">
        <v>51</v>
      </c>
      <c r="N19" s="138"/>
      <c r="O19" s="146">
        <v>1</v>
      </c>
    </row>
    <row r="20" spans="1:15" ht="340.5" customHeight="1" x14ac:dyDescent="0.3">
      <c r="A20" s="263">
        <v>17</v>
      </c>
      <c r="B20" s="264" t="s">
        <v>12</v>
      </c>
      <c r="C20" s="265" t="s">
        <v>25</v>
      </c>
      <c r="D20" s="154">
        <v>49</v>
      </c>
      <c r="E20" s="266" t="s">
        <v>502</v>
      </c>
      <c r="F20" s="154">
        <v>18</v>
      </c>
      <c r="G20" s="266" t="s">
        <v>503</v>
      </c>
      <c r="H20" s="154">
        <v>10</v>
      </c>
      <c r="I20" s="268">
        <v>28</v>
      </c>
      <c r="J20" s="145">
        <v>1.3698630136986301E-2</v>
      </c>
      <c r="K20" s="136">
        <v>0</v>
      </c>
      <c r="L20" s="137" t="s">
        <v>135</v>
      </c>
      <c r="M20" s="138">
        <v>53</v>
      </c>
      <c r="N20" s="138"/>
      <c r="O20" s="146">
        <v>1</v>
      </c>
    </row>
    <row r="21" spans="1:15" ht="169.5" customHeight="1" x14ac:dyDescent="0.3">
      <c r="A21" s="263">
        <v>18</v>
      </c>
      <c r="B21" s="264" t="s">
        <v>12</v>
      </c>
      <c r="C21" s="265" t="s">
        <v>26</v>
      </c>
      <c r="D21" s="154">
        <v>48</v>
      </c>
      <c r="E21" s="266" t="s">
        <v>485</v>
      </c>
      <c r="F21" s="154">
        <v>1</v>
      </c>
      <c r="G21" s="266" t="s">
        <v>506</v>
      </c>
      <c r="H21" s="154">
        <v>6</v>
      </c>
      <c r="I21" s="268">
        <v>7</v>
      </c>
      <c r="J21" s="145">
        <v>3.0303030303030304E-2</v>
      </c>
      <c r="K21" s="136">
        <v>1.5151515151515152E-2</v>
      </c>
      <c r="L21" s="137" t="s">
        <v>123</v>
      </c>
      <c r="M21" s="138">
        <v>46</v>
      </c>
      <c r="N21" s="138"/>
      <c r="O21" s="146">
        <v>1</v>
      </c>
    </row>
    <row r="22" spans="1:15" ht="409.5" customHeight="1" x14ac:dyDescent="0.3">
      <c r="A22" s="269">
        <v>19</v>
      </c>
      <c r="B22" s="270" t="s">
        <v>27</v>
      </c>
      <c r="C22" s="271" t="s">
        <v>28</v>
      </c>
      <c r="D22" s="272">
        <v>51</v>
      </c>
      <c r="E22" s="273" t="s">
        <v>510</v>
      </c>
      <c r="F22" s="274">
        <v>35</v>
      </c>
      <c r="G22" s="273" t="s">
        <v>516</v>
      </c>
      <c r="H22" s="272">
        <v>4</v>
      </c>
      <c r="I22" s="275">
        <v>39</v>
      </c>
      <c r="J22" s="145">
        <v>2.8985507246376812E-2</v>
      </c>
      <c r="K22" s="136">
        <v>0</v>
      </c>
      <c r="L22" s="137" t="s">
        <v>126</v>
      </c>
      <c r="M22" s="138">
        <v>51</v>
      </c>
      <c r="N22" s="138"/>
      <c r="O22" s="146">
        <v>1</v>
      </c>
    </row>
    <row r="23" spans="1:15" ht="244.5" customHeight="1" x14ac:dyDescent="0.3">
      <c r="A23" s="276"/>
      <c r="B23" s="277"/>
      <c r="C23" s="278"/>
      <c r="D23" s="279"/>
      <c r="E23" s="280"/>
      <c r="F23" s="281"/>
      <c r="G23" s="280"/>
      <c r="H23" s="279"/>
      <c r="I23" s="282"/>
      <c r="J23" s="145"/>
      <c r="K23" s="136"/>
      <c r="L23" s="137"/>
      <c r="M23" s="138"/>
      <c r="N23" s="138"/>
      <c r="O23" s="146"/>
    </row>
    <row r="24" spans="1:15" ht="409.6" customHeight="1" x14ac:dyDescent="0.3">
      <c r="A24" s="189">
        <v>20</v>
      </c>
      <c r="B24" s="183" t="s">
        <v>27</v>
      </c>
      <c r="C24" s="185" t="s">
        <v>29</v>
      </c>
      <c r="D24" s="179">
        <v>46</v>
      </c>
      <c r="E24" s="177" t="s">
        <v>517</v>
      </c>
      <c r="F24" s="179">
        <v>32</v>
      </c>
      <c r="G24" s="177" t="s">
        <v>513</v>
      </c>
      <c r="H24" s="187">
        <v>4</v>
      </c>
      <c r="I24" s="181">
        <v>36</v>
      </c>
      <c r="J24" s="145">
        <v>2.8169014084507043E-2</v>
      </c>
      <c r="K24" s="136">
        <v>2.8169014084507043E-2</v>
      </c>
      <c r="L24" s="137" t="s">
        <v>127</v>
      </c>
      <c r="M24" s="138">
        <v>50</v>
      </c>
      <c r="N24" s="138"/>
      <c r="O24" s="146">
        <v>1</v>
      </c>
    </row>
    <row r="25" spans="1:15" ht="194.25" customHeight="1" x14ac:dyDescent="0.3">
      <c r="A25" s="190"/>
      <c r="B25" s="184"/>
      <c r="C25" s="186"/>
      <c r="D25" s="180"/>
      <c r="E25" s="178"/>
      <c r="F25" s="180"/>
      <c r="G25" s="178"/>
      <c r="H25" s="188"/>
      <c r="I25" s="182"/>
      <c r="J25" s="145"/>
      <c r="K25" s="136"/>
      <c r="L25" s="137"/>
      <c r="M25" s="138"/>
      <c r="N25" s="138"/>
      <c r="O25" s="146"/>
    </row>
    <row r="26" spans="1:15" ht="409.5" customHeight="1" thickBot="1" x14ac:dyDescent="0.35">
      <c r="A26" s="155">
        <v>21</v>
      </c>
      <c r="B26" s="166" t="s">
        <v>27</v>
      </c>
      <c r="C26" s="168" t="s">
        <v>30</v>
      </c>
      <c r="D26" s="156">
        <v>51</v>
      </c>
      <c r="E26" s="157" t="s">
        <v>515</v>
      </c>
      <c r="F26" s="156">
        <v>21</v>
      </c>
      <c r="G26" s="157" t="s">
        <v>514</v>
      </c>
      <c r="H26" s="156">
        <v>6</v>
      </c>
      <c r="I26" s="175">
        <v>27</v>
      </c>
      <c r="J26" s="145">
        <v>1.4285714285714285E-2</v>
      </c>
      <c r="K26" s="136">
        <v>2.8571428571428571E-2</v>
      </c>
      <c r="L26" s="137" t="s">
        <v>120</v>
      </c>
      <c r="M26" s="138">
        <v>49</v>
      </c>
      <c r="N26" s="138"/>
      <c r="O26" s="146">
        <v>1</v>
      </c>
    </row>
    <row r="27" spans="1:15" ht="30.75" customHeight="1" x14ac:dyDescent="0.3">
      <c r="A27" s="158" t="s">
        <v>150</v>
      </c>
      <c r="M27" s="160" t="s">
        <v>194</v>
      </c>
      <c r="N27" s="161">
        <f>SUM(N4:N26)</f>
        <v>0</v>
      </c>
      <c r="O27" s="161">
        <f>SUM(O4:O26)</f>
        <v>21</v>
      </c>
    </row>
    <row r="30" spans="1:15" x14ac:dyDescent="0.3">
      <c r="D30" s="162"/>
      <c r="E30" s="162"/>
      <c r="F30" s="162"/>
      <c r="G30" s="140"/>
      <c r="H30" s="140"/>
      <c r="J30" s="159"/>
      <c r="K30" s="159"/>
      <c r="L30" s="132"/>
      <c r="M30" s="160" t="s">
        <v>194</v>
      </c>
      <c r="N30" s="161" t="e">
        <f>SUM(#REF!)</f>
        <v>#REF!</v>
      </c>
      <c r="O30" s="161" t="e">
        <f>SUM(#REF!)</f>
        <v>#REF!</v>
      </c>
    </row>
  </sheetData>
  <mergeCells count="29">
    <mergeCell ref="G24:G25"/>
    <mergeCell ref="H24:H25"/>
    <mergeCell ref="I24:I25"/>
    <mergeCell ref="A24:A25"/>
    <mergeCell ref="B24:B25"/>
    <mergeCell ref="C24:C25"/>
    <mergeCell ref="D24:D25"/>
    <mergeCell ref="E24:E25"/>
    <mergeCell ref="F24:F25"/>
    <mergeCell ref="N2:O2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A1:O1"/>
    <mergeCell ref="A2:A3"/>
    <mergeCell ref="B2:B3"/>
    <mergeCell ref="C2:C3"/>
    <mergeCell ref="D2:D3"/>
    <mergeCell ref="E2:F2"/>
    <mergeCell ref="G2:H2"/>
    <mergeCell ref="J2:K2"/>
    <mergeCell ref="L2:L3"/>
    <mergeCell ref="M2:M3"/>
  </mergeCells>
  <pageMargins left="0.70866141732283472" right="0.70866141732283472" top="0.94488188976377963" bottom="0.74803149606299213" header="0.31496062992125984" footer="0.31496062992125984"/>
  <pageSetup scale="56" fitToHeight="0" orientation="landscape" r:id="rId1"/>
  <headerFooter>
    <oddHeader>&amp;L&amp;G&amp;R&amp;G</oddHeader>
    <oddFooter>&amp;R&amp;N</oddFooter>
  </headerFooter>
  <rowBreaks count="5" manualBreakCount="5">
    <brk id="10" max="16383" man="1"/>
    <brk id="15" max="16383" man="1"/>
    <brk id="18" max="16383" man="1"/>
    <brk id="20" max="16383" man="1"/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view="pageBreakPreview" topLeftCell="A16" zoomScale="85" zoomScaleNormal="80" zoomScaleSheetLayoutView="85" workbookViewId="0">
      <selection activeCell="B26" sqref="B26"/>
    </sheetView>
  </sheetViews>
  <sheetFormatPr baseColWidth="10" defaultRowHeight="15" x14ac:dyDescent="0.25"/>
  <cols>
    <col min="1" max="1" width="3" bestFit="1" customWidth="1"/>
    <col min="2" max="2" width="70" customWidth="1"/>
    <col min="3" max="3" width="21.42578125" customWidth="1"/>
    <col min="4" max="5" width="19.7109375" customWidth="1"/>
    <col min="6" max="6" width="33.42578125" customWidth="1"/>
    <col min="7" max="7" width="19.7109375" style="1" customWidth="1"/>
    <col min="8" max="9" width="19.7109375" customWidth="1"/>
  </cols>
  <sheetData>
    <row r="1" spans="1:9" ht="15.75" x14ac:dyDescent="0.25">
      <c r="A1" s="218" t="s">
        <v>177</v>
      </c>
      <c r="B1" s="218"/>
      <c r="C1" s="218"/>
      <c r="D1" s="218"/>
      <c r="E1" s="218"/>
      <c r="F1" s="218"/>
      <c r="G1" s="218"/>
      <c r="H1" s="218"/>
      <c r="I1" s="218"/>
    </row>
    <row r="2" spans="1:9" ht="24.75" customHeight="1" x14ac:dyDescent="0.25">
      <c r="A2" s="209" t="s">
        <v>82</v>
      </c>
      <c r="B2" s="209" t="s">
        <v>1</v>
      </c>
      <c r="C2" s="219" t="s">
        <v>2</v>
      </c>
      <c r="D2" s="219" t="s">
        <v>176</v>
      </c>
      <c r="E2" s="219"/>
      <c r="F2" s="219" t="s">
        <v>6</v>
      </c>
      <c r="G2" s="219" t="s">
        <v>83</v>
      </c>
      <c r="H2" s="209" t="s">
        <v>10</v>
      </c>
      <c r="I2" s="209"/>
    </row>
    <row r="3" spans="1:9" ht="63.75" customHeight="1" x14ac:dyDescent="0.25">
      <c r="A3" s="209"/>
      <c r="B3" s="209"/>
      <c r="C3" s="219"/>
      <c r="D3" s="94" t="s">
        <v>4</v>
      </c>
      <c r="E3" s="94" t="s">
        <v>5</v>
      </c>
      <c r="F3" s="219"/>
      <c r="G3" s="219"/>
      <c r="H3" s="94" t="s">
        <v>9</v>
      </c>
      <c r="I3" s="94" t="s">
        <v>173</v>
      </c>
    </row>
    <row r="4" spans="1:9" ht="30" customHeight="1" x14ac:dyDescent="0.25">
      <c r="A4" s="12">
        <v>1</v>
      </c>
      <c r="B4" s="46" t="s">
        <v>178</v>
      </c>
      <c r="C4" s="44" t="s">
        <v>184</v>
      </c>
      <c r="D4" s="77">
        <v>3.6363636363636362E-2</v>
      </c>
      <c r="E4" s="39">
        <v>9.0909090909090905E-3</v>
      </c>
      <c r="F4" s="44" t="s">
        <v>314</v>
      </c>
      <c r="G4" s="35">
        <v>110</v>
      </c>
      <c r="H4" s="43"/>
      <c r="I4" s="45">
        <v>1</v>
      </c>
    </row>
    <row r="5" spans="1:9" ht="30" customHeight="1" x14ac:dyDescent="0.25">
      <c r="A5" s="12">
        <v>2</v>
      </c>
      <c r="B5" s="46" t="s">
        <v>179</v>
      </c>
      <c r="C5" s="44" t="s">
        <v>184</v>
      </c>
      <c r="D5" s="77">
        <v>6.363636363636363E-2</v>
      </c>
      <c r="E5" s="39">
        <v>2.7272727272727271E-2</v>
      </c>
      <c r="F5" s="44" t="s">
        <v>314</v>
      </c>
      <c r="G5" s="35">
        <v>110</v>
      </c>
      <c r="H5" s="43"/>
      <c r="I5" s="45">
        <v>1</v>
      </c>
    </row>
    <row r="6" spans="1:9" ht="30" customHeight="1" x14ac:dyDescent="0.25">
      <c r="A6" s="12">
        <v>3</v>
      </c>
      <c r="B6" s="46" t="s">
        <v>180</v>
      </c>
      <c r="C6" s="74" t="s">
        <v>185</v>
      </c>
      <c r="D6" s="39">
        <v>1.8181818181818181E-2</v>
      </c>
      <c r="E6" s="39">
        <v>4.5454545454545456E-2</v>
      </c>
      <c r="F6" s="44" t="s">
        <v>314</v>
      </c>
      <c r="G6" s="35">
        <v>110</v>
      </c>
      <c r="H6" s="43"/>
      <c r="I6" s="45">
        <v>1</v>
      </c>
    </row>
    <row r="7" spans="1:9" ht="30" customHeight="1" x14ac:dyDescent="0.25">
      <c r="A7" s="12">
        <v>4</v>
      </c>
      <c r="B7" s="46" t="s">
        <v>181</v>
      </c>
      <c r="C7" s="74" t="s">
        <v>185</v>
      </c>
      <c r="D7" s="39">
        <v>1.8181818181818181E-2</v>
      </c>
      <c r="E7" s="39">
        <v>0</v>
      </c>
      <c r="F7" s="44" t="s">
        <v>314</v>
      </c>
      <c r="G7" s="35">
        <v>110</v>
      </c>
      <c r="H7" s="43"/>
      <c r="I7" s="45">
        <v>1</v>
      </c>
    </row>
    <row r="8" spans="1:9" ht="30" customHeight="1" x14ac:dyDescent="0.25">
      <c r="A8" s="12">
        <v>5</v>
      </c>
      <c r="B8" s="46" t="s">
        <v>182</v>
      </c>
      <c r="C8" s="74" t="s">
        <v>67</v>
      </c>
      <c r="D8" s="39">
        <v>0</v>
      </c>
      <c r="E8" s="39">
        <v>2.7272727272727271E-2</v>
      </c>
      <c r="F8" s="44" t="s">
        <v>314</v>
      </c>
      <c r="G8" s="35">
        <v>110</v>
      </c>
      <c r="H8" s="43"/>
      <c r="I8" s="45">
        <v>1</v>
      </c>
    </row>
    <row r="9" spans="1:9" ht="30" customHeight="1" x14ac:dyDescent="0.25">
      <c r="A9" s="12">
        <v>6</v>
      </c>
      <c r="B9" s="46" t="s">
        <v>183</v>
      </c>
      <c r="C9" s="74" t="s">
        <v>186</v>
      </c>
      <c r="D9" s="39">
        <v>0</v>
      </c>
      <c r="E9" s="39">
        <v>0.01</v>
      </c>
      <c r="F9" s="44" t="s">
        <v>314</v>
      </c>
      <c r="G9" s="35">
        <v>110</v>
      </c>
      <c r="H9" s="43"/>
      <c r="I9" s="45">
        <v>1</v>
      </c>
    </row>
    <row r="10" spans="1:9" x14ac:dyDescent="0.25">
      <c r="A10" s="42">
        <v>7</v>
      </c>
      <c r="B10" s="46" t="s">
        <v>307</v>
      </c>
      <c r="C10" s="74" t="s">
        <v>185</v>
      </c>
      <c r="D10" s="39">
        <v>0.13</v>
      </c>
      <c r="E10" s="39">
        <v>0.02</v>
      </c>
      <c r="F10" s="44" t="s">
        <v>314</v>
      </c>
      <c r="G10" s="35">
        <v>110</v>
      </c>
      <c r="H10" s="43"/>
      <c r="I10" s="45">
        <v>1</v>
      </c>
    </row>
    <row r="11" spans="1:9" x14ac:dyDescent="0.25">
      <c r="A11" s="42">
        <v>8</v>
      </c>
      <c r="B11" s="46" t="s">
        <v>308</v>
      </c>
      <c r="C11" s="74" t="s">
        <v>184</v>
      </c>
      <c r="D11" s="39">
        <v>0.08</v>
      </c>
      <c r="E11" s="39">
        <v>0</v>
      </c>
      <c r="F11" s="44" t="s">
        <v>314</v>
      </c>
      <c r="G11" s="35">
        <v>110</v>
      </c>
      <c r="H11" s="43"/>
      <c r="I11" s="45">
        <v>1</v>
      </c>
    </row>
    <row r="12" spans="1:9" x14ac:dyDescent="0.25">
      <c r="A12" s="89"/>
      <c r="B12" s="89"/>
      <c r="C12" s="89"/>
      <c r="D12" s="89"/>
      <c r="E12" s="89"/>
      <c r="G12" s="90" t="s">
        <v>194</v>
      </c>
      <c r="H12" s="91">
        <v>0</v>
      </c>
      <c r="I12" s="92">
        <v>8</v>
      </c>
    </row>
    <row r="13" spans="1:9" x14ac:dyDescent="0.25">
      <c r="A13" s="76"/>
      <c r="B13" s="76"/>
      <c r="C13" s="76"/>
      <c r="D13" s="76"/>
      <c r="E13" s="76"/>
      <c r="F13" s="76"/>
      <c r="G13" s="78"/>
      <c r="H13" s="76"/>
      <c r="I13" s="76"/>
    </row>
    <row r="14" spans="1:9" x14ac:dyDescent="0.25">
      <c r="A14" s="76"/>
      <c r="B14" s="76"/>
      <c r="C14" s="76"/>
      <c r="D14" s="76"/>
      <c r="E14" s="76"/>
      <c r="F14" s="76"/>
      <c r="G14" s="78"/>
      <c r="H14" s="76"/>
      <c r="I14" s="76"/>
    </row>
    <row r="15" spans="1:9" ht="15.75" x14ac:dyDescent="0.25">
      <c r="A15" s="210" t="s">
        <v>312</v>
      </c>
      <c r="B15" s="211"/>
      <c r="C15" s="211"/>
      <c r="D15" s="211"/>
      <c r="E15" s="212"/>
      <c r="F15" s="76"/>
      <c r="G15" s="78"/>
      <c r="H15" s="76"/>
      <c r="I15" s="76"/>
    </row>
    <row r="16" spans="1:9" ht="15.75" x14ac:dyDescent="0.25">
      <c r="A16" s="209" t="s">
        <v>82</v>
      </c>
      <c r="B16" s="209" t="s">
        <v>0</v>
      </c>
      <c r="C16" s="209" t="s">
        <v>344</v>
      </c>
      <c r="D16" s="209" t="s">
        <v>10</v>
      </c>
      <c r="E16" s="209"/>
      <c r="I16" s="76"/>
    </row>
    <row r="17" spans="1:9" ht="72" customHeight="1" x14ac:dyDescent="0.25">
      <c r="A17" s="209"/>
      <c r="B17" s="209"/>
      <c r="C17" s="209"/>
      <c r="D17" s="94" t="s">
        <v>9</v>
      </c>
      <c r="E17" s="94" t="s">
        <v>173</v>
      </c>
      <c r="I17" s="76"/>
    </row>
    <row r="18" spans="1:9" x14ac:dyDescent="0.25">
      <c r="A18" s="12">
        <v>1</v>
      </c>
      <c r="B18" s="40" t="s">
        <v>187</v>
      </c>
      <c r="C18" s="44">
        <v>30</v>
      </c>
      <c r="D18" s="43"/>
      <c r="E18" s="45"/>
      <c r="I18" s="76"/>
    </row>
    <row r="19" spans="1:9" ht="36.75" customHeight="1" x14ac:dyDescent="0.25">
      <c r="A19" s="12">
        <v>2</v>
      </c>
      <c r="B19" s="40" t="s">
        <v>188</v>
      </c>
      <c r="C19" s="44">
        <v>30</v>
      </c>
      <c r="D19" s="43"/>
      <c r="E19" s="45"/>
      <c r="I19" s="76"/>
    </row>
    <row r="20" spans="1:9" x14ac:dyDescent="0.25">
      <c r="A20" s="76"/>
      <c r="B20" s="76"/>
      <c r="C20" s="80"/>
      <c r="D20" s="80"/>
      <c r="E20" s="76"/>
      <c r="F20" s="76"/>
      <c r="G20" s="78"/>
      <c r="H20" s="76"/>
      <c r="I20" s="76"/>
    </row>
    <row r="21" spans="1:9" x14ac:dyDescent="0.25">
      <c r="A21" s="76"/>
      <c r="B21" s="76"/>
      <c r="C21" s="80"/>
      <c r="D21" s="80"/>
      <c r="E21" s="76"/>
      <c r="F21" s="76"/>
      <c r="G21" s="78"/>
      <c r="H21" s="76"/>
      <c r="I21" s="76"/>
    </row>
    <row r="22" spans="1:9" ht="15.75" x14ac:dyDescent="0.25">
      <c r="A22" s="215" t="s">
        <v>313</v>
      </c>
      <c r="B22" s="215"/>
      <c r="C22" s="215"/>
      <c r="D22" s="215"/>
      <c r="E22" s="215"/>
      <c r="F22" s="215"/>
      <c r="G22" s="78"/>
      <c r="H22" s="76"/>
      <c r="I22" s="76"/>
    </row>
    <row r="23" spans="1:9" ht="15.75" x14ac:dyDescent="0.25">
      <c r="A23" s="209" t="s">
        <v>82</v>
      </c>
      <c r="B23" s="209" t="s">
        <v>0</v>
      </c>
      <c r="C23" s="213" t="s">
        <v>345</v>
      </c>
      <c r="D23" s="213" t="s">
        <v>346</v>
      </c>
      <c r="E23" s="216" t="s">
        <v>10</v>
      </c>
      <c r="F23" s="217"/>
      <c r="I23" s="76"/>
    </row>
    <row r="24" spans="1:9" ht="47.25" x14ac:dyDescent="0.25">
      <c r="A24" s="209"/>
      <c r="B24" s="209"/>
      <c r="C24" s="214"/>
      <c r="D24" s="214"/>
      <c r="E24" s="94" t="s">
        <v>9</v>
      </c>
      <c r="F24" s="94" t="s">
        <v>173</v>
      </c>
      <c r="I24" s="76"/>
    </row>
    <row r="25" spans="1:9" ht="36.75" customHeight="1" x14ac:dyDescent="0.25">
      <c r="A25" s="12">
        <v>1</v>
      </c>
      <c r="B25" s="10" t="s">
        <v>316</v>
      </c>
      <c r="C25" s="12">
        <v>10</v>
      </c>
      <c r="D25" s="12">
        <v>8</v>
      </c>
      <c r="E25" s="43"/>
      <c r="F25" s="45"/>
      <c r="I25" s="76"/>
    </row>
    <row r="26" spans="1:9" ht="36.75" customHeight="1" x14ac:dyDescent="0.25">
      <c r="A26" s="12">
        <v>2</v>
      </c>
      <c r="B26" s="10" t="s">
        <v>317</v>
      </c>
      <c r="C26" s="12">
        <v>10</v>
      </c>
      <c r="D26" s="12">
        <v>8</v>
      </c>
      <c r="E26" s="43"/>
      <c r="F26" s="45"/>
      <c r="I26" s="76"/>
    </row>
    <row r="27" spans="1:9" ht="36.75" customHeight="1" x14ac:dyDescent="0.25">
      <c r="A27" s="12">
        <v>3</v>
      </c>
      <c r="B27" s="10" t="s">
        <v>318</v>
      </c>
      <c r="C27" s="12">
        <v>10</v>
      </c>
      <c r="D27" s="12">
        <v>8</v>
      </c>
      <c r="E27" s="43"/>
      <c r="F27" s="45"/>
      <c r="I27" s="76"/>
    </row>
  </sheetData>
  <mergeCells count="19">
    <mergeCell ref="A1:I1"/>
    <mergeCell ref="A2:A3"/>
    <mergeCell ref="B2:B3"/>
    <mergeCell ref="C2:C3"/>
    <mergeCell ref="D2:E2"/>
    <mergeCell ref="F2:F3"/>
    <mergeCell ref="G2:G3"/>
    <mergeCell ref="H2:I2"/>
    <mergeCell ref="A23:A24"/>
    <mergeCell ref="B23:B24"/>
    <mergeCell ref="C16:C17"/>
    <mergeCell ref="A15:E15"/>
    <mergeCell ref="D23:D24"/>
    <mergeCell ref="C23:C24"/>
    <mergeCell ref="A22:F22"/>
    <mergeCell ref="D16:E16"/>
    <mergeCell ref="E23:F23"/>
    <mergeCell ref="A16:A17"/>
    <mergeCell ref="B16:B17"/>
  </mergeCells>
  <pageMargins left="0.70866141732283472" right="0.70866141732283472" top="0.74803149606299213" bottom="0.74803149606299213" header="0.31496062992125984" footer="0.31496062992125984"/>
  <pageSetup scale="39" fitToHeight="0" orientation="portrait" r:id="rId1"/>
  <headerFooter>
    <oddHeader>&amp;L&amp;G&amp;R&amp;G</oddHeader>
  </headerFooter>
  <ignoredErrors>
    <ignoredError sqref="C6:C7 C8:C9" twoDigitTextYear="1"/>
  </ignoredError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7"/>
  <sheetViews>
    <sheetView topLeftCell="A7" zoomScale="80" zoomScaleNormal="80" workbookViewId="0">
      <selection activeCell="B26" sqref="B26"/>
    </sheetView>
  </sheetViews>
  <sheetFormatPr baseColWidth="10" defaultRowHeight="15" x14ac:dyDescent="0.25"/>
  <cols>
    <col min="1" max="1" width="1" style="85" customWidth="1"/>
    <col min="2" max="2" width="5.85546875" customWidth="1"/>
    <col min="3" max="3" width="24.28515625" customWidth="1"/>
    <col min="4" max="4" width="17.5703125" customWidth="1"/>
    <col min="5" max="5" width="16" customWidth="1"/>
    <col min="6" max="6" width="14.140625" customWidth="1"/>
    <col min="7" max="7" width="14" customWidth="1"/>
    <col min="8" max="8" width="12.85546875" customWidth="1"/>
    <col min="9" max="9" width="14" customWidth="1"/>
    <col min="10" max="10" width="15.85546875" customWidth="1"/>
    <col min="12" max="12" width="11.42578125" customWidth="1"/>
    <col min="13" max="13" width="28.28515625" bestFit="1" customWidth="1"/>
    <col min="14" max="14" width="10.28515625" bestFit="1" customWidth="1"/>
  </cols>
  <sheetData>
    <row r="2" spans="2:12" ht="15.75" customHeight="1" x14ac:dyDescent="0.25">
      <c r="B2" s="219" t="s">
        <v>342</v>
      </c>
      <c r="C2" s="219"/>
      <c r="D2" s="219"/>
      <c r="E2" s="219"/>
      <c r="F2" s="219"/>
      <c r="G2" s="219"/>
      <c r="H2" s="219"/>
      <c r="I2" s="219"/>
      <c r="J2" s="219"/>
    </row>
    <row r="3" spans="2:12" ht="15" customHeight="1" x14ac:dyDescent="0.25">
      <c r="B3" s="219" t="s">
        <v>202</v>
      </c>
      <c r="C3" s="219" t="s">
        <v>0</v>
      </c>
      <c r="D3" s="219" t="s">
        <v>237</v>
      </c>
      <c r="E3" s="219" t="s">
        <v>204</v>
      </c>
      <c r="F3" s="219"/>
      <c r="G3" s="213" t="s">
        <v>206</v>
      </c>
      <c r="H3" s="213" t="s">
        <v>7</v>
      </c>
      <c r="I3" s="219" t="s">
        <v>80</v>
      </c>
      <c r="J3" s="219"/>
    </row>
    <row r="4" spans="2:12" ht="78.75" x14ac:dyDescent="0.25">
      <c r="B4" s="219" t="s">
        <v>202</v>
      </c>
      <c r="C4" s="219"/>
      <c r="D4" s="219"/>
      <c r="E4" s="94" t="s">
        <v>4</v>
      </c>
      <c r="F4" s="94" t="s">
        <v>205</v>
      </c>
      <c r="G4" s="214"/>
      <c r="H4" s="214"/>
      <c r="I4" s="94" t="s">
        <v>9</v>
      </c>
      <c r="J4" s="94" t="s">
        <v>207</v>
      </c>
    </row>
    <row r="5" spans="2:12" x14ac:dyDescent="0.25">
      <c r="B5" s="47">
        <v>1</v>
      </c>
      <c r="C5" s="47" t="s">
        <v>238</v>
      </c>
      <c r="D5" s="86" t="s">
        <v>232</v>
      </c>
      <c r="E5" s="61">
        <v>3.896103896103896E-2</v>
      </c>
      <c r="F5" s="61">
        <v>1.2987012987012988E-2</v>
      </c>
      <c r="G5" s="41" t="s">
        <v>239</v>
      </c>
      <c r="H5" s="41">
        <v>77</v>
      </c>
      <c r="I5" s="41">
        <v>1</v>
      </c>
      <c r="J5" s="62"/>
      <c r="L5" s="32"/>
    </row>
    <row r="6" spans="2:12" x14ac:dyDescent="0.25">
      <c r="B6" s="47">
        <v>2</v>
      </c>
      <c r="C6" s="47" t="s">
        <v>240</v>
      </c>
      <c r="D6" s="86" t="s">
        <v>326</v>
      </c>
      <c r="E6" s="61">
        <v>8.8235294117647065E-2</v>
      </c>
      <c r="F6" s="61">
        <v>0</v>
      </c>
      <c r="G6" s="41" t="s">
        <v>241</v>
      </c>
      <c r="H6" s="41">
        <v>68</v>
      </c>
      <c r="I6" s="41">
        <v>1</v>
      </c>
      <c r="J6" s="62"/>
      <c r="L6" s="32"/>
    </row>
    <row r="7" spans="2:12" x14ac:dyDescent="0.25">
      <c r="B7" s="47">
        <v>3</v>
      </c>
      <c r="C7" s="47" t="s">
        <v>242</v>
      </c>
      <c r="D7" s="86" t="s">
        <v>232</v>
      </c>
      <c r="E7" s="61">
        <v>5.9523809523809521E-2</v>
      </c>
      <c r="F7" s="61">
        <v>1.1904761904761904E-2</v>
      </c>
      <c r="G7" s="41" t="s">
        <v>243</v>
      </c>
      <c r="H7" s="41">
        <v>84</v>
      </c>
      <c r="I7" s="41">
        <v>1</v>
      </c>
      <c r="J7" s="62"/>
      <c r="L7" s="32"/>
    </row>
    <row r="8" spans="2:12" x14ac:dyDescent="0.25">
      <c r="B8" s="47">
        <v>4</v>
      </c>
      <c r="C8" s="47" t="s">
        <v>244</v>
      </c>
      <c r="D8" s="86" t="s">
        <v>327</v>
      </c>
      <c r="E8" s="61">
        <v>9.6385542168674704E-2</v>
      </c>
      <c r="F8" s="61">
        <v>0</v>
      </c>
      <c r="G8" s="41" t="s">
        <v>245</v>
      </c>
      <c r="H8" s="41">
        <v>83</v>
      </c>
      <c r="I8" s="41">
        <v>1</v>
      </c>
      <c r="J8" s="62"/>
      <c r="L8" s="32"/>
    </row>
    <row r="9" spans="2:12" x14ac:dyDescent="0.25">
      <c r="B9" s="47">
        <v>5</v>
      </c>
      <c r="C9" s="47" t="s">
        <v>246</v>
      </c>
      <c r="D9" s="86" t="s">
        <v>232</v>
      </c>
      <c r="E9" s="61">
        <v>2.8985507246376812E-2</v>
      </c>
      <c r="F9" s="61">
        <v>1.4492753623188406E-2</v>
      </c>
      <c r="G9" s="63" t="s">
        <v>247</v>
      </c>
      <c r="H9" s="41">
        <v>69</v>
      </c>
      <c r="I9" s="41">
        <v>1</v>
      </c>
      <c r="J9" s="62"/>
      <c r="L9" s="32"/>
    </row>
    <row r="10" spans="2:12" x14ac:dyDescent="0.25">
      <c r="B10" s="47">
        <v>6</v>
      </c>
      <c r="C10" s="47" t="s">
        <v>248</v>
      </c>
      <c r="D10" s="86" t="s">
        <v>232</v>
      </c>
      <c r="E10" s="61">
        <v>2.8169014084507043E-2</v>
      </c>
      <c r="F10" s="61">
        <v>0</v>
      </c>
      <c r="G10" s="41" t="s">
        <v>249</v>
      </c>
      <c r="H10" s="41">
        <v>71</v>
      </c>
      <c r="I10" s="41">
        <v>1</v>
      </c>
      <c r="J10" s="62"/>
      <c r="L10" s="32"/>
    </row>
    <row r="11" spans="2:12" x14ac:dyDescent="0.25">
      <c r="B11" s="47">
        <v>7</v>
      </c>
      <c r="C11" s="47" t="s">
        <v>250</v>
      </c>
      <c r="D11" s="86" t="s">
        <v>328</v>
      </c>
      <c r="E11" s="61" t="s">
        <v>171</v>
      </c>
      <c r="F11" s="61" t="s">
        <v>171</v>
      </c>
      <c r="G11" s="41" t="s">
        <v>251</v>
      </c>
      <c r="H11" s="41" t="s">
        <v>171</v>
      </c>
      <c r="I11" s="41">
        <v>1</v>
      </c>
      <c r="J11" s="62"/>
      <c r="L11" s="32"/>
    </row>
    <row r="12" spans="2:12" x14ac:dyDescent="0.25">
      <c r="B12" s="47">
        <v>8</v>
      </c>
      <c r="C12" s="47" t="s">
        <v>252</v>
      </c>
      <c r="D12" s="86" t="s">
        <v>329</v>
      </c>
      <c r="E12" s="61">
        <v>3.5714285714285712E-2</v>
      </c>
      <c r="F12" s="61">
        <v>1.1904761904761904E-2</v>
      </c>
      <c r="G12" s="41" t="s">
        <v>253</v>
      </c>
      <c r="H12" s="41">
        <v>84</v>
      </c>
      <c r="I12" s="41">
        <v>1</v>
      </c>
      <c r="J12" s="62"/>
      <c r="L12" s="32"/>
    </row>
    <row r="13" spans="2:12" x14ac:dyDescent="0.25">
      <c r="B13" s="47">
        <v>9</v>
      </c>
      <c r="C13" s="47" t="s">
        <v>254</v>
      </c>
      <c r="D13" s="86" t="s">
        <v>330</v>
      </c>
      <c r="E13" s="61">
        <v>9.3457943925233638E-3</v>
      </c>
      <c r="F13" s="61">
        <v>0</v>
      </c>
      <c r="G13" s="63" t="s">
        <v>255</v>
      </c>
      <c r="H13" s="41">
        <v>107</v>
      </c>
      <c r="I13" s="41">
        <v>1</v>
      </c>
      <c r="J13" s="62"/>
      <c r="L13" s="32"/>
    </row>
    <row r="14" spans="2:12" x14ac:dyDescent="0.25">
      <c r="B14" s="47">
        <v>10</v>
      </c>
      <c r="C14" s="47" t="s">
        <v>256</v>
      </c>
      <c r="D14" s="86" t="s">
        <v>331</v>
      </c>
      <c r="E14" s="61">
        <v>2.8169014084507043E-2</v>
      </c>
      <c r="F14" s="61">
        <v>2.8169014084507043E-2</v>
      </c>
      <c r="G14" s="41" t="s">
        <v>257</v>
      </c>
      <c r="H14" s="41">
        <v>71</v>
      </c>
      <c r="I14" s="41">
        <v>1</v>
      </c>
      <c r="J14" s="62"/>
      <c r="L14" s="32"/>
    </row>
    <row r="15" spans="2:12" x14ac:dyDescent="0.25">
      <c r="B15" s="47">
        <v>11</v>
      </c>
      <c r="C15" s="47" t="s">
        <v>258</v>
      </c>
      <c r="D15" s="86" t="s">
        <v>332</v>
      </c>
      <c r="E15" s="61">
        <v>0.27777777777777779</v>
      </c>
      <c r="F15" s="61">
        <v>0</v>
      </c>
      <c r="G15" s="41" t="s">
        <v>259</v>
      </c>
      <c r="H15" s="41">
        <v>90</v>
      </c>
      <c r="I15" s="41">
        <v>1</v>
      </c>
      <c r="J15" s="62"/>
      <c r="L15" s="32"/>
    </row>
    <row r="16" spans="2:12" x14ac:dyDescent="0.25">
      <c r="B16" s="47">
        <v>12</v>
      </c>
      <c r="C16" s="47" t="s">
        <v>260</v>
      </c>
      <c r="D16" s="86" t="s">
        <v>232</v>
      </c>
      <c r="E16" s="61">
        <v>4.6875E-2</v>
      </c>
      <c r="F16" s="61">
        <v>3.125E-2</v>
      </c>
      <c r="G16" s="41" t="s">
        <v>261</v>
      </c>
      <c r="H16" s="41">
        <v>64</v>
      </c>
      <c r="I16" s="41">
        <v>1</v>
      </c>
      <c r="J16" s="62"/>
      <c r="L16" s="32"/>
    </row>
    <row r="17" spans="2:12" x14ac:dyDescent="0.25">
      <c r="B17" s="47">
        <v>13</v>
      </c>
      <c r="C17" s="47" t="s">
        <v>262</v>
      </c>
      <c r="D17" s="86" t="s">
        <v>333</v>
      </c>
      <c r="E17" s="61">
        <v>1.4285714285714285E-2</v>
      </c>
      <c r="F17" s="61">
        <v>1.4285714285714285E-2</v>
      </c>
      <c r="G17" s="41" t="s">
        <v>263</v>
      </c>
      <c r="H17" s="41">
        <v>70</v>
      </c>
      <c r="I17" s="41">
        <v>1</v>
      </c>
      <c r="J17" s="65"/>
      <c r="L17" s="32"/>
    </row>
    <row r="18" spans="2:12" x14ac:dyDescent="0.25">
      <c r="B18" s="47">
        <v>14</v>
      </c>
      <c r="C18" s="47" t="s">
        <v>264</v>
      </c>
      <c r="D18" s="86" t="s">
        <v>334</v>
      </c>
      <c r="E18" s="61">
        <v>5.7142857142857141E-2</v>
      </c>
      <c r="F18" s="61">
        <v>0</v>
      </c>
      <c r="G18" s="41" t="s">
        <v>265</v>
      </c>
      <c r="H18" s="41">
        <v>70</v>
      </c>
      <c r="I18" s="41">
        <v>1</v>
      </c>
      <c r="J18" s="62"/>
      <c r="L18" s="32"/>
    </row>
    <row r="19" spans="2:12" x14ac:dyDescent="0.25">
      <c r="B19" s="47">
        <v>15</v>
      </c>
      <c r="C19" s="47" t="s">
        <v>266</v>
      </c>
      <c r="D19" s="86" t="s">
        <v>333</v>
      </c>
      <c r="E19" s="61">
        <v>0.23684210526315788</v>
      </c>
      <c r="F19" s="61">
        <v>0</v>
      </c>
      <c r="G19" s="41" t="s">
        <v>267</v>
      </c>
      <c r="H19" s="41">
        <v>76</v>
      </c>
      <c r="I19" s="41">
        <v>1</v>
      </c>
      <c r="J19" s="62"/>
      <c r="L19" s="32"/>
    </row>
    <row r="20" spans="2:12" x14ac:dyDescent="0.25">
      <c r="B20" s="47">
        <v>16</v>
      </c>
      <c r="C20" s="47" t="s">
        <v>268</v>
      </c>
      <c r="D20" s="86" t="s">
        <v>335</v>
      </c>
      <c r="E20" s="61">
        <v>1.2345679012345678E-2</v>
      </c>
      <c r="F20" s="61">
        <v>0</v>
      </c>
      <c r="G20" s="41" t="s">
        <v>269</v>
      </c>
      <c r="H20" s="41">
        <v>81</v>
      </c>
      <c r="I20" s="41">
        <v>1</v>
      </c>
      <c r="J20" s="62"/>
      <c r="L20" s="32"/>
    </row>
    <row r="21" spans="2:12" x14ac:dyDescent="0.25">
      <c r="B21" s="47">
        <v>17</v>
      </c>
      <c r="C21" s="47" t="s">
        <v>270</v>
      </c>
      <c r="D21" s="86" t="s">
        <v>336</v>
      </c>
      <c r="E21" s="61">
        <v>2.9411764705882353E-2</v>
      </c>
      <c r="F21" s="61">
        <v>5.8823529411764705E-2</v>
      </c>
      <c r="G21" s="63" t="s">
        <v>271</v>
      </c>
      <c r="H21" s="41">
        <v>68</v>
      </c>
      <c r="I21" s="41">
        <v>1</v>
      </c>
      <c r="J21" s="62"/>
      <c r="L21" s="32"/>
    </row>
    <row r="22" spans="2:12" x14ac:dyDescent="0.25">
      <c r="B22" s="47">
        <v>18</v>
      </c>
      <c r="C22" s="47" t="s">
        <v>272</v>
      </c>
      <c r="D22" s="86" t="s">
        <v>337</v>
      </c>
      <c r="E22" s="61">
        <v>9.3333333333333338E-2</v>
      </c>
      <c r="F22" s="61">
        <v>0</v>
      </c>
      <c r="G22" s="41" t="s">
        <v>273</v>
      </c>
      <c r="H22" s="41">
        <v>75</v>
      </c>
      <c r="I22" s="41">
        <v>1</v>
      </c>
      <c r="J22" s="62"/>
      <c r="L22" s="32"/>
    </row>
    <row r="23" spans="2:12" x14ac:dyDescent="0.25">
      <c r="B23" s="47">
        <v>19</v>
      </c>
      <c r="C23" s="47" t="s">
        <v>274</v>
      </c>
      <c r="D23" s="86" t="s">
        <v>338</v>
      </c>
      <c r="E23" s="61">
        <v>0</v>
      </c>
      <c r="F23" s="61">
        <v>0</v>
      </c>
      <c r="G23" s="41" t="s">
        <v>275</v>
      </c>
      <c r="H23" s="41">
        <v>77</v>
      </c>
      <c r="I23" s="41">
        <v>1</v>
      </c>
      <c r="J23" s="62"/>
      <c r="L23" s="32"/>
    </row>
    <row r="24" spans="2:12" x14ac:dyDescent="0.25">
      <c r="B24" s="47">
        <v>20</v>
      </c>
      <c r="C24" s="116" t="s">
        <v>276</v>
      </c>
      <c r="D24" s="84" t="s">
        <v>339</v>
      </c>
      <c r="E24" s="117">
        <v>6.9444444444444448E-2</v>
      </c>
      <c r="F24" s="117">
        <v>5.5555555555555552E-2</v>
      </c>
      <c r="G24" s="41" t="s">
        <v>277</v>
      </c>
      <c r="H24" s="41">
        <v>72</v>
      </c>
      <c r="I24" s="41">
        <v>1</v>
      </c>
      <c r="J24" s="62"/>
      <c r="L24" s="32"/>
    </row>
    <row r="25" spans="2:12" ht="25.5" customHeight="1" x14ac:dyDescent="0.25">
      <c r="C25" s="220" t="s">
        <v>444</v>
      </c>
      <c r="D25" s="220"/>
      <c r="E25" s="220"/>
      <c r="F25" s="220"/>
      <c r="G25" s="66"/>
      <c r="H25" s="88" t="s">
        <v>194</v>
      </c>
      <c r="I25" s="73">
        <f>SUM(I5:I24)</f>
        <v>20</v>
      </c>
      <c r="J25" s="73">
        <v>0</v>
      </c>
    </row>
    <row r="27" spans="2:12" ht="15.75" x14ac:dyDescent="0.25">
      <c r="B27" s="219" t="s">
        <v>343</v>
      </c>
      <c r="C27" s="219"/>
      <c r="D27" s="219"/>
      <c r="E27" s="219"/>
      <c r="F27" s="219"/>
      <c r="G27" s="219"/>
      <c r="H27" s="219"/>
      <c r="I27" s="219"/>
      <c r="J27" s="219"/>
    </row>
    <row r="28" spans="2:12" ht="15" customHeight="1" x14ac:dyDescent="0.25">
      <c r="B28" s="219" t="s">
        <v>202</v>
      </c>
      <c r="C28" s="219" t="s">
        <v>0</v>
      </c>
      <c r="D28" s="213" t="s">
        <v>203</v>
      </c>
      <c r="E28" s="219" t="s">
        <v>204</v>
      </c>
      <c r="F28" s="219"/>
      <c r="G28" s="213" t="s">
        <v>206</v>
      </c>
      <c r="H28" s="213" t="s">
        <v>7</v>
      </c>
      <c r="I28" s="219" t="s">
        <v>80</v>
      </c>
      <c r="J28" s="219"/>
    </row>
    <row r="29" spans="2:12" ht="78.75" x14ac:dyDescent="0.25">
      <c r="B29" s="219" t="s">
        <v>202</v>
      </c>
      <c r="C29" s="219"/>
      <c r="D29" s="214"/>
      <c r="E29" s="94" t="s">
        <v>4</v>
      </c>
      <c r="F29" s="94" t="s">
        <v>205</v>
      </c>
      <c r="G29" s="214"/>
      <c r="H29" s="214"/>
      <c r="I29" s="94" t="s">
        <v>9</v>
      </c>
      <c r="J29" s="94" t="s">
        <v>207</v>
      </c>
    </row>
    <row r="30" spans="2:12" x14ac:dyDescent="0.25">
      <c r="B30" s="47">
        <v>21</v>
      </c>
      <c r="C30" s="47" t="s">
        <v>278</v>
      </c>
      <c r="D30" s="86" t="s">
        <v>340</v>
      </c>
      <c r="E30" s="87">
        <v>9.6385542168674704E-2</v>
      </c>
      <c r="F30" s="87">
        <v>0</v>
      </c>
      <c r="G30" s="86" t="s">
        <v>279</v>
      </c>
      <c r="H30" s="86">
        <v>83</v>
      </c>
      <c r="I30" s="64"/>
      <c r="J30" s="65">
        <v>1</v>
      </c>
    </row>
    <row r="32" spans="2:12" ht="15" customHeight="1" x14ac:dyDescent="0.25">
      <c r="B32" s="219" t="s">
        <v>202</v>
      </c>
      <c r="C32" s="219" t="s">
        <v>280</v>
      </c>
      <c r="D32" s="219"/>
      <c r="E32" s="219"/>
      <c r="F32" s="219"/>
      <c r="G32" s="219"/>
      <c r="H32" s="219"/>
      <c r="I32" s="219"/>
      <c r="J32" s="219"/>
      <c r="K32" s="219"/>
    </row>
    <row r="33" spans="2:11" ht="15" customHeight="1" x14ac:dyDescent="0.25">
      <c r="B33" s="219"/>
      <c r="C33" s="213" t="s">
        <v>222</v>
      </c>
      <c r="D33" s="213" t="s">
        <v>79</v>
      </c>
      <c r="E33" s="219" t="s">
        <v>281</v>
      </c>
      <c r="F33" s="219"/>
      <c r="G33" s="219"/>
      <c r="H33" s="219"/>
      <c r="I33" s="219"/>
      <c r="J33" s="221" t="s">
        <v>10</v>
      </c>
      <c r="K33" s="222"/>
    </row>
    <row r="34" spans="2:11" ht="110.25" x14ac:dyDescent="0.25">
      <c r="B34" s="219"/>
      <c r="C34" s="214"/>
      <c r="D34" s="214"/>
      <c r="E34" s="94" t="s">
        <v>282</v>
      </c>
      <c r="F34" s="94" t="s">
        <v>164</v>
      </c>
      <c r="G34" s="94" t="s">
        <v>165</v>
      </c>
      <c r="H34" s="94" t="s">
        <v>223</v>
      </c>
      <c r="I34" s="94" t="s">
        <v>224</v>
      </c>
      <c r="J34" s="94" t="s">
        <v>175</v>
      </c>
      <c r="K34" s="94" t="s">
        <v>174</v>
      </c>
    </row>
    <row r="35" spans="2:11" x14ac:dyDescent="0.25">
      <c r="B35" s="51">
        <v>1</v>
      </c>
      <c r="C35" s="51" t="s">
        <v>283</v>
      </c>
      <c r="D35" s="60" t="s">
        <v>284</v>
      </c>
      <c r="E35" s="59">
        <v>5</v>
      </c>
      <c r="F35" s="57">
        <v>0</v>
      </c>
      <c r="G35" s="57">
        <v>0</v>
      </c>
      <c r="H35" s="58">
        <v>1</v>
      </c>
      <c r="I35" s="58">
        <v>1</v>
      </c>
      <c r="J35" s="81"/>
      <c r="K35" s="64">
        <v>1</v>
      </c>
    </row>
    <row r="37" spans="2:11" s="85" customFormat="1" ht="78.75" customHeight="1" x14ac:dyDescent="0.25">
      <c r="C37" s="119" t="s">
        <v>373</v>
      </c>
      <c r="D37" s="114" t="s">
        <v>414</v>
      </c>
      <c r="E37" s="114" t="s">
        <v>415</v>
      </c>
    </row>
    <row r="38" spans="2:11" s="85" customFormat="1" ht="16.5" x14ac:dyDescent="0.3">
      <c r="C38" s="120" t="s">
        <v>416</v>
      </c>
      <c r="D38" s="115">
        <v>1</v>
      </c>
      <c r="E38" s="115">
        <v>1</v>
      </c>
    </row>
    <row r="39" spans="2:11" s="85" customFormat="1" ht="16.5" x14ac:dyDescent="0.3">
      <c r="C39" s="120" t="s">
        <v>377</v>
      </c>
      <c r="D39" s="115">
        <v>0</v>
      </c>
      <c r="E39" s="115">
        <v>1</v>
      </c>
    </row>
    <row r="40" spans="2:11" s="85" customFormat="1" ht="16.5" x14ac:dyDescent="0.3">
      <c r="C40" s="120" t="s">
        <v>379</v>
      </c>
      <c r="D40" s="115">
        <v>10</v>
      </c>
      <c r="E40" s="115">
        <v>5</v>
      </c>
    </row>
    <row r="41" spans="2:11" s="85" customFormat="1" ht="16.5" x14ac:dyDescent="0.3">
      <c r="C41" s="120" t="s">
        <v>447</v>
      </c>
      <c r="D41" s="115">
        <v>1</v>
      </c>
      <c r="E41" s="115">
        <v>6</v>
      </c>
    </row>
    <row r="42" spans="2:11" s="85" customFormat="1" ht="16.5" x14ac:dyDescent="0.3">
      <c r="C42" s="120" t="s">
        <v>382</v>
      </c>
      <c r="D42" s="115">
        <v>17</v>
      </c>
      <c r="E42" s="115">
        <v>4</v>
      </c>
    </row>
    <row r="43" spans="2:11" s="85" customFormat="1" x14ac:dyDescent="0.25"/>
    <row r="44" spans="2:11" ht="15.75" x14ac:dyDescent="0.25">
      <c r="C44" s="219" t="s">
        <v>0</v>
      </c>
      <c r="D44" s="219" t="s">
        <v>430</v>
      </c>
      <c r="E44" s="219"/>
      <c r="F44" s="219"/>
      <c r="G44" s="219"/>
      <c r="H44" s="219"/>
    </row>
    <row r="45" spans="2:11" ht="31.5" x14ac:dyDescent="0.25">
      <c r="C45" s="219"/>
      <c r="D45" s="118" t="s">
        <v>431</v>
      </c>
      <c r="E45" s="118" t="s">
        <v>379</v>
      </c>
      <c r="F45" s="118" t="s">
        <v>382</v>
      </c>
      <c r="G45" s="118" t="s">
        <v>432</v>
      </c>
      <c r="H45" s="118" t="s">
        <v>416</v>
      </c>
    </row>
    <row r="46" spans="2:11" ht="148.5" x14ac:dyDescent="0.25">
      <c r="C46" s="128" t="s">
        <v>433</v>
      </c>
      <c r="D46" s="128" t="s">
        <v>434</v>
      </c>
      <c r="E46" s="128" t="s">
        <v>435</v>
      </c>
      <c r="F46" s="128" t="s">
        <v>436</v>
      </c>
      <c r="G46" s="128" t="s">
        <v>437</v>
      </c>
      <c r="H46" s="128" t="s">
        <v>438</v>
      </c>
    </row>
    <row r="47" spans="2:11" ht="66" x14ac:dyDescent="0.25">
      <c r="C47" s="128" t="s">
        <v>439</v>
      </c>
      <c r="D47" s="128" t="s">
        <v>440</v>
      </c>
      <c r="E47" s="128" t="s">
        <v>441</v>
      </c>
      <c r="F47" s="128" t="s">
        <v>442</v>
      </c>
      <c r="G47" s="128" t="s">
        <v>443</v>
      </c>
      <c r="H47" s="128"/>
    </row>
  </sheetData>
  <mergeCells count="25">
    <mergeCell ref="D44:H44"/>
    <mergeCell ref="C25:F25"/>
    <mergeCell ref="E33:I33"/>
    <mergeCell ref="J33:K33"/>
    <mergeCell ref="B32:B34"/>
    <mergeCell ref="C32:K32"/>
    <mergeCell ref="C33:C34"/>
    <mergeCell ref="D33:D34"/>
    <mergeCell ref="C44:C45"/>
    <mergeCell ref="B27:J27"/>
    <mergeCell ref="B28:B29"/>
    <mergeCell ref="C28:C29"/>
    <mergeCell ref="D28:D29"/>
    <mergeCell ref="E28:F28"/>
    <mergeCell ref="G28:G29"/>
    <mergeCell ref="H28:H29"/>
    <mergeCell ref="I28:J28"/>
    <mergeCell ref="B2:J2"/>
    <mergeCell ref="B3:B4"/>
    <mergeCell ref="C3:C4"/>
    <mergeCell ref="D3:D4"/>
    <mergeCell ref="E3:F3"/>
    <mergeCell ref="I3:J3"/>
    <mergeCell ref="G3:G4"/>
    <mergeCell ref="H3:H4"/>
  </mergeCells>
  <conditionalFormatting sqref="F5:F10 F12:F24">
    <cfRule type="cellIs" dxfId="1" priority="2" operator="greaterThan">
      <formula>0.3</formula>
    </cfRule>
  </conditionalFormatting>
  <conditionalFormatting sqref="F30">
    <cfRule type="cellIs" dxfId="0" priority="1" operator="greaterThan">
      <formula>0.3</formula>
    </cfRule>
  </conditionalFormatting>
  <pageMargins left="0.70866141732283472" right="0.70866141732283472" top="0.74803149606299213" bottom="0.74803149606299213" header="0.31496062992125984" footer="0.31496062992125984"/>
  <pageSetup scale="62" fitToHeight="0" orientation="portrait" r:id="rId1"/>
  <headerFooter>
    <oddHeader>&amp;L&amp;G&amp;R&amp;G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zoomScale="80" zoomScaleNormal="80" workbookViewId="0">
      <selection activeCell="B26" sqref="B26"/>
    </sheetView>
  </sheetViews>
  <sheetFormatPr baseColWidth="10" defaultRowHeight="15" x14ac:dyDescent="0.25"/>
  <cols>
    <col min="1" max="1" width="1.140625" style="85" customWidth="1"/>
    <col min="2" max="2" width="36.5703125" style="98" customWidth="1"/>
    <col min="3" max="6" width="36.5703125" style="96" customWidth="1"/>
    <col min="7" max="7" width="11.42578125" style="85"/>
    <col min="8" max="8" width="20.7109375" style="96" customWidth="1"/>
    <col min="9" max="16384" width="11.42578125" style="85"/>
  </cols>
  <sheetData>
    <row r="1" spans="1:8" ht="34.5" customHeight="1" x14ac:dyDescent="0.25">
      <c r="B1" s="224" t="s">
        <v>413</v>
      </c>
      <c r="C1" s="224"/>
      <c r="D1" s="224"/>
      <c r="E1" s="224"/>
      <c r="F1" s="224"/>
    </row>
    <row r="2" spans="1:8" ht="16.5" x14ac:dyDescent="0.3">
      <c r="B2" s="103" t="s">
        <v>407</v>
      </c>
      <c r="C2" s="103" t="s">
        <v>408</v>
      </c>
      <c r="D2" s="103" t="s">
        <v>409</v>
      </c>
      <c r="E2" s="103" t="s">
        <v>410</v>
      </c>
      <c r="F2" s="103" t="s">
        <v>411</v>
      </c>
      <c r="H2" s="121" t="s">
        <v>373</v>
      </c>
    </row>
    <row r="3" spans="1:8" ht="51" x14ac:dyDescent="0.3">
      <c r="B3" s="105" t="s">
        <v>374</v>
      </c>
      <c r="C3" s="104" t="s">
        <v>384</v>
      </c>
      <c r="D3" s="104" t="s">
        <v>389</v>
      </c>
      <c r="E3" s="104" t="s">
        <v>412</v>
      </c>
      <c r="F3" s="106" t="s">
        <v>400</v>
      </c>
      <c r="H3" s="122" t="s">
        <v>375</v>
      </c>
    </row>
    <row r="4" spans="1:8" ht="63.75" x14ac:dyDescent="0.3">
      <c r="A4" s="102"/>
      <c r="B4" s="107" t="s">
        <v>376</v>
      </c>
      <c r="C4" s="104" t="s">
        <v>385</v>
      </c>
      <c r="D4" s="106" t="s">
        <v>390</v>
      </c>
      <c r="E4" s="104" t="s">
        <v>388</v>
      </c>
      <c r="F4" s="106" t="s">
        <v>401</v>
      </c>
      <c r="H4" s="123" t="s">
        <v>377</v>
      </c>
    </row>
    <row r="5" spans="1:8" ht="51" x14ac:dyDescent="0.3">
      <c r="B5" s="108" t="s">
        <v>378</v>
      </c>
      <c r="C5" s="104" t="s">
        <v>386</v>
      </c>
      <c r="D5" s="106" t="s">
        <v>391</v>
      </c>
      <c r="E5" s="109"/>
      <c r="F5" s="106" t="s">
        <v>402</v>
      </c>
      <c r="H5" s="124" t="s">
        <v>379</v>
      </c>
    </row>
    <row r="6" spans="1:8" ht="76.5" x14ac:dyDescent="0.3">
      <c r="B6" s="223" t="s">
        <v>380</v>
      </c>
      <c r="C6" s="104" t="s">
        <v>387</v>
      </c>
      <c r="D6" s="106" t="s">
        <v>392</v>
      </c>
      <c r="E6" s="109"/>
      <c r="F6" s="106" t="s">
        <v>403</v>
      </c>
      <c r="H6" s="125" t="s">
        <v>381</v>
      </c>
    </row>
    <row r="7" spans="1:8" ht="76.5" x14ac:dyDescent="0.3">
      <c r="B7" s="223"/>
      <c r="C7" s="109"/>
      <c r="D7" s="106" t="s">
        <v>393</v>
      </c>
      <c r="E7" s="109"/>
      <c r="F7" s="106" t="s">
        <v>404</v>
      </c>
      <c r="H7" s="126" t="s">
        <v>382</v>
      </c>
    </row>
    <row r="8" spans="1:8" ht="51" x14ac:dyDescent="0.25">
      <c r="A8" s="102"/>
      <c r="B8" s="110" t="s">
        <v>383</v>
      </c>
      <c r="C8" s="109"/>
      <c r="D8" s="106" t="s">
        <v>394</v>
      </c>
      <c r="E8" s="109"/>
      <c r="F8" s="106" t="s">
        <v>405</v>
      </c>
    </row>
    <row r="9" spans="1:8" ht="76.5" x14ac:dyDescent="0.25">
      <c r="A9" s="102"/>
      <c r="B9"/>
      <c r="C9"/>
      <c r="D9" s="106" t="s">
        <v>395</v>
      </c>
      <c r="E9" s="109"/>
      <c r="F9" s="106" t="s">
        <v>406</v>
      </c>
    </row>
    <row r="10" spans="1:8" ht="38.25" x14ac:dyDescent="0.25">
      <c r="B10"/>
      <c r="C10"/>
      <c r="D10" s="106" t="s">
        <v>396</v>
      </c>
      <c r="E10" s="109"/>
      <c r="F10" s="109"/>
    </row>
    <row r="11" spans="1:8" ht="51" x14ac:dyDescent="0.25">
      <c r="B11"/>
      <c r="C11"/>
      <c r="D11" s="106" t="s">
        <v>397</v>
      </c>
      <c r="E11" s="109"/>
      <c r="F11" s="109"/>
    </row>
    <row r="12" spans="1:8" ht="51" x14ac:dyDescent="0.25">
      <c r="B12"/>
      <c r="C12"/>
      <c r="D12" s="106" t="s">
        <v>398</v>
      </c>
      <c r="E12" s="109"/>
      <c r="F12" s="109"/>
    </row>
    <row r="13" spans="1:8" ht="51" x14ac:dyDescent="0.25">
      <c r="B13"/>
      <c r="C13"/>
      <c r="D13" s="106" t="s">
        <v>399</v>
      </c>
      <c r="E13" s="109"/>
      <c r="F13" s="109"/>
    </row>
    <row r="14" spans="1:8" x14ac:dyDescent="0.25">
      <c r="B14" s="96"/>
      <c r="C14" s="85"/>
      <c r="D14" s="85"/>
      <c r="E14" s="85"/>
      <c r="F14" s="85"/>
    </row>
    <row r="21" spans="2:2" x14ac:dyDescent="0.25">
      <c r="B21" s="96"/>
    </row>
    <row r="22" spans="2:2" x14ac:dyDescent="0.25">
      <c r="B22" s="96"/>
    </row>
    <row r="23" spans="2:2" x14ac:dyDescent="0.25">
      <c r="B23" s="96"/>
    </row>
    <row r="24" spans="2:2" x14ac:dyDescent="0.25">
      <c r="B24" s="96"/>
    </row>
    <row r="25" spans="2:2" x14ac:dyDescent="0.25">
      <c r="B25" s="96"/>
    </row>
    <row r="26" spans="2:2" x14ac:dyDescent="0.25">
      <c r="B26" s="96"/>
    </row>
    <row r="27" spans="2:2" x14ac:dyDescent="0.25">
      <c r="B27" s="96"/>
    </row>
    <row r="28" spans="2:2" x14ac:dyDescent="0.25">
      <c r="B28" s="96"/>
    </row>
    <row r="29" spans="2:2" x14ac:dyDescent="0.25">
      <c r="B29" s="96"/>
    </row>
    <row r="30" spans="2:2" x14ac:dyDescent="0.25">
      <c r="B30" s="96"/>
    </row>
    <row r="31" spans="2:2" x14ac:dyDescent="0.25">
      <c r="B31" s="96"/>
    </row>
    <row r="32" spans="2:2" x14ac:dyDescent="0.25">
      <c r="B32" s="96"/>
    </row>
    <row r="33" spans="2:2" x14ac:dyDescent="0.25">
      <c r="B33" s="96"/>
    </row>
    <row r="34" spans="2:2" x14ac:dyDescent="0.25">
      <c r="B34" s="96"/>
    </row>
    <row r="35" spans="2:2" x14ac:dyDescent="0.25">
      <c r="B35" s="96"/>
    </row>
  </sheetData>
  <mergeCells count="2">
    <mergeCell ref="B6:B7"/>
    <mergeCell ref="B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workbookViewId="0">
      <selection activeCell="B26" sqref="B26"/>
    </sheetView>
  </sheetViews>
  <sheetFormatPr baseColWidth="10" defaultRowHeight="15" x14ac:dyDescent="0.25"/>
  <cols>
    <col min="2" max="4" width="22.140625" style="96" customWidth="1"/>
    <col min="5" max="5" width="15.85546875" bestFit="1" customWidth="1"/>
  </cols>
  <sheetData>
    <row r="1" spans="2:6" ht="6.75" customHeight="1" x14ac:dyDescent="0.25"/>
    <row r="2" spans="2:6" ht="16.5" customHeight="1" x14ac:dyDescent="0.25">
      <c r="B2" s="221" t="s">
        <v>368</v>
      </c>
      <c r="C2" s="225"/>
      <c r="D2" s="225"/>
      <c r="E2" s="222"/>
    </row>
    <row r="3" spans="2:6" ht="31.5" x14ac:dyDescent="0.25">
      <c r="B3" s="114" t="s">
        <v>347</v>
      </c>
      <c r="C3" s="114" t="s">
        <v>348</v>
      </c>
      <c r="D3" s="114" t="s">
        <v>349</v>
      </c>
      <c r="E3" s="119" t="s">
        <v>350</v>
      </c>
      <c r="F3" s="97"/>
    </row>
    <row r="4" spans="2:6" ht="16.5" x14ac:dyDescent="0.25">
      <c r="B4" s="226" t="s">
        <v>351</v>
      </c>
      <c r="C4" s="226" t="s">
        <v>352</v>
      </c>
      <c r="D4" s="99" t="s">
        <v>353</v>
      </c>
      <c r="E4" s="101" t="s">
        <v>354</v>
      </c>
      <c r="F4" s="95"/>
    </row>
    <row r="5" spans="2:6" ht="33" x14ac:dyDescent="0.25">
      <c r="B5" s="226"/>
      <c r="C5" s="226"/>
      <c r="D5" s="99" t="s">
        <v>355</v>
      </c>
      <c r="E5" s="101" t="s">
        <v>354</v>
      </c>
      <c r="F5" s="95"/>
    </row>
    <row r="6" spans="2:6" ht="33" x14ac:dyDescent="0.25">
      <c r="B6" s="226"/>
      <c r="C6" s="226" t="s">
        <v>356</v>
      </c>
      <c r="D6" s="99" t="s">
        <v>357</v>
      </c>
      <c r="E6" s="101" t="s">
        <v>371</v>
      </c>
      <c r="F6" s="95"/>
    </row>
    <row r="7" spans="2:6" ht="16.5" x14ac:dyDescent="0.25">
      <c r="B7" s="226"/>
      <c r="C7" s="226"/>
      <c r="D7" s="99" t="s">
        <v>358</v>
      </c>
      <c r="E7" s="101" t="s">
        <v>372</v>
      </c>
      <c r="F7" s="95"/>
    </row>
    <row r="8" spans="2:6" ht="33" x14ac:dyDescent="0.25">
      <c r="B8" s="226" t="s">
        <v>359</v>
      </c>
      <c r="C8" s="226" t="s">
        <v>360</v>
      </c>
      <c r="D8" s="99" t="s">
        <v>361</v>
      </c>
      <c r="E8" s="101" t="s">
        <v>362</v>
      </c>
      <c r="F8" s="95"/>
    </row>
    <row r="9" spans="2:6" ht="33" x14ac:dyDescent="0.25">
      <c r="B9" s="226"/>
      <c r="C9" s="226"/>
      <c r="D9" s="99" t="s">
        <v>367</v>
      </c>
      <c r="E9" s="101" t="s">
        <v>363</v>
      </c>
      <c r="F9" s="95"/>
    </row>
    <row r="10" spans="2:6" ht="44.25" customHeight="1" x14ac:dyDescent="0.25">
      <c r="B10" s="226"/>
      <c r="C10" s="226" t="s">
        <v>364</v>
      </c>
      <c r="D10" s="99" t="s">
        <v>365</v>
      </c>
      <c r="E10" s="101" t="s">
        <v>370</v>
      </c>
      <c r="F10" s="95"/>
    </row>
    <row r="11" spans="2:6" ht="16.5" x14ac:dyDescent="0.25">
      <c r="B11" s="226"/>
      <c r="C11" s="226"/>
      <c r="D11" s="99" t="s">
        <v>358</v>
      </c>
      <c r="E11" s="101" t="s">
        <v>366</v>
      </c>
      <c r="F11" s="95"/>
    </row>
    <row r="12" spans="2:6" x14ac:dyDescent="0.25">
      <c r="B12" s="100"/>
      <c r="C12" s="100"/>
      <c r="D12" s="100"/>
      <c r="E12" s="76"/>
      <c r="F12" s="95"/>
    </row>
    <row r="13" spans="2:6" ht="45.75" customHeight="1" x14ac:dyDescent="0.25">
      <c r="B13" s="228" t="s">
        <v>369</v>
      </c>
      <c r="C13" s="228"/>
      <c r="D13" s="228"/>
      <c r="E13" s="228"/>
      <c r="F13" s="95"/>
    </row>
    <row r="14" spans="2:6" ht="51.75" customHeight="1" x14ac:dyDescent="0.3">
      <c r="B14" s="227" t="s">
        <v>448</v>
      </c>
      <c r="C14" s="227"/>
      <c r="D14" s="227"/>
      <c r="E14" s="227"/>
    </row>
  </sheetData>
  <mergeCells count="9">
    <mergeCell ref="B2:E2"/>
    <mergeCell ref="B4:B7"/>
    <mergeCell ref="C4:C5"/>
    <mergeCell ref="C6:C7"/>
    <mergeCell ref="B14:E14"/>
    <mergeCell ref="B13:E13"/>
    <mergeCell ref="B8:B11"/>
    <mergeCell ref="C8:C9"/>
    <mergeCell ref="C10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="80" zoomScaleNormal="80" workbookViewId="0">
      <selection activeCell="B26" sqref="B26"/>
    </sheetView>
  </sheetViews>
  <sheetFormatPr baseColWidth="10" defaultRowHeight="15" x14ac:dyDescent="0.25"/>
  <cols>
    <col min="1" max="1" width="4.5703125" style="85" customWidth="1"/>
    <col min="2" max="2" width="35" style="98" customWidth="1"/>
    <col min="3" max="6" width="35" style="96" customWidth="1"/>
    <col min="7" max="7" width="11.42578125" style="85"/>
    <col min="8" max="8" width="11.85546875" style="85" customWidth="1"/>
    <col min="9" max="16384" width="11.42578125" style="85"/>
  </cols>
  <sheetData>
    <row r="1" spans="1:8" ht="28.5" customHeight="1" x14ac:dyDescent="0.25">
      <c r="A1"/>
      <c r="B1" s="224" t="s">
        <v>428</v>
      </c>
      <c r="C1" s="224"/>
      <c r="D1" s="224"/>
      <c r="E1" s="224"/>
      <c r="F1" s="224"/>
    </row>
    <row r="2" spans="1:8" ht="33" x14ac:dyDescent="0.3">
      <c r="A2"/>
      <c r="B2" s="103" t="s">
        <v>407</v>
      </c>
      <c r="C2" s="103" t="s">
        <v>408</v>
      </c>
      <c r="D2" s="103" t="s">
        <v>409</v>
      </c>
      <c r="E2" s="103" t="s">
        <v>410</v>
      </c>
      <c r="F2" s="103" t="s">
        <v>411</v>
      </c>
      <c r="H2" s="121" t="s">
        <v>373</v>
      </c>
    </row>
    <row r="3" spans="1:8" ht="51" x14ac:dyDescent="0.3">
      <c r="B3" s="111" t="s">
        <v>378</v>
      </c>
      <c r="C3" s="104" t="s">
        <v>418</v>
      </c>
      <c r="D3" s="110" t="s">
        <v>429</v>
      </c>
      <c r="E3" s="104" t="s">
        <v>426</v>
      </c>
      <c r="F3" s="106" t="s">
        <v>405</v>
      </c>
      <c r="H3" s="122" t="s">
        <v>375</v>
      </c>
    </row>
    <row r="4" spans="1:8" ht="63.75" x14ac:dyDescent="0.3">
      <c r="B4" s="112" t="s">
        <v>417</v>
      </c>
      <c r="C4" s="110" t="s">
        <v>384</v>
      </c>
      <c r="D4" s="106" t="s">
        <v>393</v>
      </c>
      <c r="E4" s="109"/>
      <c r="F4" s="109"/>
      <c r="H4" s="123" t="s">
        <v>377</v>
      </c>
    </row>
    <row r="5" spans="1:8" ht="51" x14ac:dyDescent="0.3">
      <c r="B5" s="106" t="s">
        <v>427</v>
      </c>
      <c r="C5" s="104" t="s">
        <v>419</v>
      </c>
      <c r="D5" s="106" t="s">
        <v>398</v>
      </c>
      <c r="E5" s="109"/>
      <c r="F5" s="109"/>
      <c r="H5" s="124" t="s">
        <v>379</v>
      </c>
    </row>
    <row r="6" spans="1:8" ht="63.75" x14ac:dyDescent="0.3">
      <c r="B6" s="109"/>
      <c r="C6" s="104" t="s">
        <v>420</v>
      </c>
      <c r="D6" s="109"/>
      <c r="E6" s="109"/>
      <c r="F6" s="109"/>
      <c r="H6" s="125" t="s">
        <v>381</v>
      </c>
    </row>
    <row r="7" spans="1:8" ht="63.75" x14ac:dyDescent="0.3">
      <c r="B7" s="109"/>
      <c r="C7" s="104" t="s">
        <v>421</v>
      </c>
      <c r="D7" s="109"/>
      <c r="E7" s="109"/>
      <c r="F7" s="109"/>
      <c r="H7" s="126" t="s">
        <v>382</v>
      </c>
    </row>
    <row r="8" spans="1:8" ht="51" x14ac:dyDescent="0.25">
      <c r="B8" s="109"/>
      <c r="C8" s="110" t="s">
        <v>422</v>
      </c>
      <c r="D8" s="109"/>
      <c r="E8" s="109"/>
      <c r="F8" s="109"/>
    </row>
    <row r="9" spans="1:8" ht="38.25" x14ac:dyDescent="0.25">
      <c r="B9" s="109"/>
      <c r="C9" s="110" t="s">
        <v>423</v>
      </c>
      <c r="D9" s="109"/>
      <c r="E9" s="109"/>
      <c r="F9" s="109"/>
    </row>
    <row r="10" spans="1:8" ht="63.75" x14ac:dyDescent="0.25">
      <c r="B10" s="109"/>
      <c r="C10" s="110" t="s">
        <v>424</v>
      </c>
      <c r="D10" s="109"/>
      <c r="E10" s="109"/>
      <c r="F10" s="109"/>
    </row>
    <row r="11" spans="1:8" ht="63.75" x14ac:dyDescent="0.25">
      <c r="B11" s="109"/>
      <c r="C11" s="113" t="s">
        <v>425</v>
      </c>
      <c r="D11" s="109"/>
      <c r="E11" s="109"/>
      <c r="F11" s="109"/>
    </row>
    <row r="12" spans="1:8" ht="39" customHeight="1" x14ac:dyDescent="0.25"/>
    <row r="15" spans="1:8" x14ac:dyDescent="0.25">
      <c r="B15" s="96"/>
    </row>
    <row r="16" spans="1:8" x14ac:dyDescent="0.25">
      <c r="B16" s="96"/>
    </row>
    <row r="17" spans="2:2" x14ac:dyDescent="0.25">
      <c r="B17" s="96"/>
    </row>
    <row r="18" spans="2:2" x14ac:dyDescent="0.25">
      <c r="B18" s="96"/>
    </row>
    <row r="19" spans="2:2" x14ac:dyDescent="0.25">
      <c r="B19" s="96"/>
    </row>
    <row r="20" spans="2:2" x14ac:dyDescent="0.25">
      <c r="B20" s="96"/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"/>
  <sheetViews>
    <sheetView workbookViewId="0">
      <selection activeCell="B26" sqref="B26"/>
    </sheetView>
  </sheetViews>
  <sheetFormatPr baseColWidth="10" defaultRowHeight="15" x14ac:dyDescent="0.25"/>
  <cols>
    <col min="1" max="1" width="7.85546875" style="85" customWidth="1"/>
    <col min="2" max="2" width="34.85546875" style="96" customWidth="1"/>
    <col min="3" max="3" width="25" style="85" customWidth="1"/>
    <col min="4" max="4" width="32.28515625" style="85" bestFit="1" customWidth="1"/>
    <col min="5" max="16384" width="11.42578125" style="85"/>
  </cols>
  <sheetData>
    <row r="1" spans="2:5" ht="6.75" customHeight="1" x14ac:dyDescent="0.25"/>
    <row r="2" spans="2:5" ht="34.5" customHeight="1" x14ac:dyDescent="0.25">
      <c r="B2" s="118" t="s">
        <v>449</v>
      </c>
      <c r="C2" s="118" t="s">
        <v>350</v>
      </c>
      <c r="D2" s="129" t="s">
        <v>464</v>
      </c>
    </row>
    <row r="3" spans="2:5" ht="16.5" x14ac:dyDescent="0.25">
      <c r="B3" s="99" t="s">
        <v>450</v>
      </c>
      <c r="C3" s="99" t="s">
        <v>451</v>
      </c>
      <c r="D3" s="99"/>
    </row>
    <row r="4" spans="2:5" ht="16.5" x14ac:dyDescent="0.25">
      <c r="B4" s="99" t="s">
        <v>452</v>
      </c>
      <c r="C4" s="99" t="s">
        <v>451</v>
      </c>
      <c r="D4" s="99"/>
    </row>
    <row r="5" spans="2:5" ht="16.5" x14ac:dyDescent="0.25">
      <c r="B5" s="99" t="s">
        <v>453</v>
      </c>
      <c r="C5" s="99" t="s">
        <v>454</v>
      </c>
      <c r="D5" s="99"/>
    </row>
    <row r="6" spans="2:5" ht="16.5" x14ac:dyDescent="0.25">
      <c r="B6" s="99" t="s">
        <v>455</v>
      </c>
      <c r="C6" s="99" t="s">
        <v>456</v>
      </c>
      <c r="D6" s="99" t="s">
        <v>465</v>
      </c>
    </row>
    <row r="7" spans="2:5" ht="16.5" x14ac:dyDescent="0.25">
      <c r="B7" s="99" t="s">
        <v>457</v>
      </c>
      <c r="C7" s="99" t="s">
        <v>458</v>
      </c>
      <c r="D7" s="99" t="s">
        <v>437</v>
      </c>
    </row>
    <row r="8" spans="2:5" ht="16.5" x14ac:dyDescent="0.25">
      <c r="B8" s="99" t="s">
        <v>459</v>
      </c>
      <c r="C8" s="99" t="s">
        <v>460</v>
      </c>
      <c r="D8" s="99" t="s">
        <v>466</v>
      </c>
    </row>
    <row r="9" spans="2:5" ht="16.5" x14ac:dyDescent="0.25">
      <c r="B9" s="99" t="s">
        <v>461</v>
      </c>
      <c r="C9" s="99" t="s">
        <v>462</v>
      </c>
      <c r="D9" s="99"/>
    </row>
    <row r="10" spans="2:5" x14ac:dyDescent="0.25">
      <c r="C10" s="127"/>
    </row>
    <row r="11" spans="2:5" s="131" customFormat="1" ht="39" customHeight="1" x14ac:dyDescent="0.25">
      <c r="B11" s="229" t="s">
        <v>463</v>
      </c>
      <c r="C11" s="229"/>
      <c r="D11" s="229"/>
      <c r="E11" s="130"/>
    </row>
    <row r="12" spans="2:5" x14ac:dyDescent="0.25">
      <c r="B12" s="127"/>
      <c r="C12" s="127"/>
    </row>
    <row r="13" spans="2:5" x14ac:dyDescent="0.25">
      <c r="B13" s="127"/>
      <c r="C13" s="127"/>
    </row>
  </sheetData>
  <mergeCells count="1"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22"/>
  <sheetViews>
    <sheetView view="pageBreakPreview" topLeftCell="A13" zoomScaleNormal="100" zoomScaleSheetLayoutView="100" workbookViewId="0">
      <selection activeCell="B26" sqref="B26"/>
    </sheetView>
  </sheetViews>
  <sheetFormatPr baseColWidth="10" defaultRowHeight="15" x14ac:dyDescent="0.25"/>
  <cols>
    <col min="1" max="1" width="3.7109375" customWidth="1"/>
    <col min="2" max="2" width="27.5703125" customWidth="1"/>
    <col min="3" max="3" width="20" customWidth="1"/>
    <col min="4" max="4" width="18.28515625" customWidth="1"/>
    <col min="5" max="5" width="14.28515625" customWidth="1"/>
    <col min="6" max="6" width="15.85546875" customWidth="1"/>
    <col min="7" max="8" width="14.28515625" customWidth="1"/>
    <col min="9" max="9" width="20" customWidth="1"/>
  </cols>
  <sheetData>
    <row r="2" spans="1:9" ht="15" customHeight="1" x14ac:dyDescent="0.25">
      <c r="A2" s="219" t="s">
        <v>201</v>
      </c>
      <c r="B2" s="219"/>
      <c r="C2" s="219"/>
      <c r="D2" s="219"/>
      <c r="E2" s="219"/>
      <c r="F2" s="219"/>
      <c r="G2" s="219"/>
      <c r="H2" s="219"/>
      <c r="I2" s="219"/>
    </row>
    <row r="3" spans="1:9" ht="15.75" x14ac:dyDescent="0.25">
      <c r="A3" s="213" t="s">
        <v>202</v>
      </c>
      <c r="B3" s="213" t="s">
        <v>0</v>
      </c>
      <c r="C3" s="213" t="s">
        <v>203</v>
      </c>
      <c r="D3" s="221" t="s">
        <v>204</v>
      </c>
      <c r="E3" s="222"/>
      <c r="F3" s="213" t="s">
        <v>206</v>
      </c>
      <c r="G3" s="213" t="s">
        <v>7</v>
      </c>
      <c r="H3" s="221" t="s">
        <v>80</v>
      </c>
      <c r="I3" s="222"/>
    </row>
    <row r="4" spans="1:9" ht="80.25" customHeight="1" x14ac:dyDescent="0.25">
      <c r="A4" s="214"/>
      <c r="B4" s="214"/>
      <c r="C4" s="214"/>
      <c r="D4" s="94" t="s">
        <v>4</v>
      </c>
      <c r="E4" s="94" t="s">
        <v>205</v>
      </c>
      <c r="F4" s="214"/>
      <c r="G4" s="214"/>
      <c r="H4" s="94" t="s">
        <v>9</v>
      </c>
      <c r="I4" s="94" t="s">
        <v>207</v>
      </c>
    </row>
    <row r="5" spans="1:9" x14ac:dyDescent="0.25">
      <c r="A5" s="51">
        <v>1</v>
      </c>
      <c r="B5" s="51" t="s">
        <v>189</v>
      </c>
      <c r="C5" s="52" t="s">
        <v>208</v>
      </c>
      <c r="D5" s="53">
        <v>0.14925373134328357</v>
      </c>
      <c r="E5" s="53">
        <v>5.9701492537313432E-2</v>
      </c>
      <c r="F5" s="54" t="s">
        <v>209</v>
      </c>
      <c r="G5" s="52">
        <v>67</v>
      </c>
      <c r="H5" s="52"/>
      <c r="I5" s="82">
        <v>1</v>
      </c>
    </row>
    <row r="6" spans="1:9" x14ac:dyDescent="0.25">
      <c r="A6" s="51">
        <v>2</v>
      </c>
      <c r="B6" s="51" t="s">
        <v>199</v>
      </c>
      <c r="C6" s="52" t="s">
        <v>210</v>
      </c>
      <c r="D6" s="53">
        <v>0.25714285714285712</v>
      </c>
      <c r="E6" s="53">
        <v>8.5714285714285715E-2</v>
      </c>
      <c r="F6" s="55" t="s">
        <v>211</v>
      </c>
      <c r="G6" s="52">
        <v>70</v>
      </c>
      <c r="H6" s="52"/>
      <c r="I6" s="82">
        <v>1</v>
      </c>
    </row>
    <row r="7" spans="1:9" x14ac:dyDescent="0.25">
      <c r="A7" s="51">
        <v>3</v>
      </c>
      <c r="B7" s="51" t="s">
        <v>200</v>
      </c>
      <c r="C7" s="52" t="s">
        <v>212</v>
      </c>
      <c r="D7" s="53">
        <v>4.0540540540540543E-2</v>
      </c>
      <c r="E7" s="53">
        <v>0</v>
      </c>
      <c r="F7" s="54" t="s">
        <v>213</v>
      </c>
      <c r="G7" s="52">
        <v>74</v>
      </c>
      <c r="H7" s="52"/>
      <c r="I7" s="82">
        <v>1</v>
      </c>
    </row>
    <row r="8" spans="1:9" x14ac:dyDescent="0.25">
      <c r="A8" s="51">
        <v>4</v>
      </c>
      <c r="B8" s="51" t="s">
        <v>190</v>
      </c>
      <c r="C8" s="55" t="s">
        <v>214</v>
      </c>
      <c r="D8" s="53">
        <v>1.3888888888888888E-2</v>
      </c>
      <c r="E8" s="53">
        <v>4.1666666666666664E-2</v>
      </c>
      <c r="F8" s="55" t="s">
        <v>211</v>
      </c>
      <c r="G8" s="52">
        <v>72</v>
      </c>
      <c r="H8" s="52"/>
      <c r="I8" s="82">
        <v>1</v>
      </c>
    </row>
    <row r="9" spans="1:9" x14ac:dyDescent="0.25">
      <c r="A9" s="51">
        <v>5</v>
      </c>
      <c r="B9" s="51" t="s">
        <v>215</v>
      </c>
      <c r="C9" s="52" t="s">
        <v>216</v>
      </c>
      <c r="D9" s="53">
        <v>1.4285714285714285E-2</v>
      </c>
      <c r="E9" s="53">
        <v>8.5714285714285715E-2</v>
      </c>
      <c r="F9" s="54" t="s">
        <v>217</v>
      </c>
      <c r="G9" s="52">
        <v>70</v>
      </c>
      <c r="H9" s="52"/>
      <c r="I9" s="82">
        <v>1</v>
      </c>
    </row>
    <row r="10" spans="1:9" x14ac:dyDescent="0.25">
      <c r="A10" s="51">
        <v>6</v>
      </c>
      <c r="B10" s="51" t="s">
        <v>191</v>
      </c>
      <c r="C10" s="55" t="s">
        <v>218</v>
      </c>
      <c r="D10" s="53">
        <v>0.18181818181818182</v>
      </c>
      <c r="E10" s="53">
        <v>1.2987012987012988E-2</v>
      </c>
      <c r="F10" s="54" t="s">
        <v>219</v>
      </c>
      <c r="G10" s="52">
        <v>77</v>
      </c>
      <c r="H10" s="52"/>
      <c r="I10" s="82">
        <v>1</v>
      </c>
    </row>
    <row r="11" spans="1:9" x14ac:dyDescent="0.25">
      <c r="G11" s="93" t="s">
        <v>194</v>
      </c>
      <c r="H11" s="73">
        <f>SUM(H5:H10)</f>
        <v>0</v>
      </c>
      <c r="I11" s="73">
        <f>SUM(I5:I10)</f>
        <v>6</v>
      </c>
    </row>
    <row r="13" spans="1:9" ht="14.25" customHeight="1" x14ac:dyDescent="0.25">
      <c r="A13" s="219" t="s">
        <v>220</v>
      </c>
      <c r="B13" s="219"/>
      <c r="C13" s="219"/>
      <c r="D13" s="219"/>
      <c r="E13" s="219"/>
      <c r="F13" s="219"/>
      <c r="G13" s="219"/>
      <c r="H13" s="219"/>
      <c r="I13" s="219"/>
    </row>
    <row r="14" spans="1:9" ht="15" customHeight="1" x14ac:dyDescent="0.25">
      <c r="A14" s="230" t="s">
        <v>221</v>
      </c>
      <c r="B14" s="230" t="s">
        <v>222</v>
      </c>
      <c r="C14" s="230" t="s">
        <v>79</v>
      </c>
      <c r="D14" s="221" t="s">
        <v>319</v>
      </c>
      <c r="E14" s="225"/>
      <c r="F14" s="225"/>
      <c r="G14" s="222"/>
      <c r="H14" s="231" t="s">
        <v>10</v>
      </c>
      <c r="I14" s="232"/>
    </row>
    <row r="15" spans="1:9" ht="80.25" customHeight="1" x14ac:dyDescent="0.25">
      <c r="A15" s="214"/>
      <c r="B15" s="214"/>
      <c r="C15" s="214"/>
      <c r="D15" s="94" t="s">
        <v>164</v>
      </c>
      <c r="E15" s="94" t="s">
        <v>165</v>
      </c>
      <c r="F15" s="94" t="s">
        <v>320</v>
      </c>
      <c r="G15" s="94" t="s">
        <v>321</v>
      </c>
      <c r="H15" s="94" t="s">
        <v>175</v>
      </c>
      <c r="I15" s="94" t="s">
        <v>174</v>
      </c>
    </row>
    <row r="16" spans="1:9" x14ac:dyDescent="0.25">
      <c r="A16" s="56">
        <v>1</v>
      </c>
      <c r="B16" s="51" t="s">
        <v>225</v>
      </c>
      <c r="C16" s="53" t="s">
        <v>226</v>
      </c>
      <c r="D16" s="57">
        <v>0.69230769230769229</v>
      </c>
      <c r="E16" s="57">
        <v>0.23</v>
      </c>
      <c r="F16" s="58">
        <v>1</v>
      </c>
      <c r="G16" s="58">
        <v>1</v>
      </c>
      <c r="H16" s="59"/>
      <c r="I16" s="41">
        <v>1</v>
      </c>
    </row>
    <row r="17" spans="1:9" ht="25.5" x14ac:dyDescent="0.25">
      <c r="A17" s="56">
        <v>2</v>
      </c>
      <c r="B17" s="51" t="s">
        <v>227</v>
      </c>
      <c r="C17" s="53" t="s">
        <v>228</v>
      </c>
      <c r="D17" s="57">
        <v>0</v>
      </c>
      <c r="E17" s="57">
        <v>0.33</v>
      </c>
      <c r="F17" s="58">
        <v>0</v>
      </c>
      <c r="G17" s="58">
        <v>1</v>
      </c>
      <c r="H17" s="59"/>
      <c r="I17" s="41">
        <v>1</v>
      </c>
    </row>
    <row r="18" spans="1:9" ht="25.5" x14ac:dyDescent="0.25">
      <c r="A18" s="56">
        <v>3</v>
      </c>
      <c r="B18" s="51" t="s">
        <v>229</v>
      </c>
      <c r="C18" s="53" t="s">
        <v>230</v>
      </c>
      <c r="D18" s="57">
        <v>0.14285714285714285</v>
      </c>
      <c r="E18" s="57">
        <v>0</v>
      </c>
      <c r="F18" s="58">
        <v>0</v>
      </c>
      <c r="G18" s="58">
        <v>1</v>
      </c>
      <c r="H18" s="59"/>
      <c r="I18" s="41">
        <v>1</v>
      </c>
    </row>
    <row r="19" spans="1:9" ht="25.5" x14ac:dyDescent="0.25">
      <c r="A19" s="56">
        <v>4</v>
      </c>
      <c r="B19" s="51" t="s">
        <v>231</v>
      </c>
      <c r="C19" s="60" t="s">
        <v>232</v>
      </c>
      <c r="D19" s="57">
        <v>0</v>
      </c>
      <c r="E19" s="57">
        <v>0</v>
      </c>
      <c r="F19" s="58">
        <v>0</v>
      </c>
      <c r="G19" s="58">
        <v>1</v>
      </c>
      <c r="H19" s="59"/>
      <c r="I19" s="41">
        <v>1</v>
      </c>
    </row>
    <row r="20" spans="1:9" ht="25.5" x14ac:dyDescent="0.25">
      <c r="A20" s="56">
        <v>5</v>
      </c>
      <c r="B20" s="51" t="s">
        <v>233</v>
      </c>
      <c r="C20" s="53" t="s">
        <v>234</v>
      </c>
      <c r="D20" s="57">
        <v>0.25</v>
      </c>
      <c r="E20" s="57">
        <v>0.5</v>
      </c>
      <c r="F20" s="58">
        <v>0</v>
      </c>
      <c r="G20" s="58">
        <v>1</v>
      </c>
      <c r="H20" s="59"/>
      <c r="I20" s="41">
        <v>1</v>
      </c>
    </row>
    <row r="21" spans="1:9" ht="25.5" x14ac:dyDescent="0.25">
      <c r="A21" s="56">
        <v>6</v>
      </c>
      <c r="B21" s="51" t="s">
        <v>235</v>
      </c>
      <c r="C21" s="53" t="s">
        <v>236</v>
      </c>
      <c r="D21" s="57">
        <v>0.25</v>
      </c>
      <c r="E21" s="57">
        <v>0.13</v>
      </c>
      <c r="F21" s="58">
        <v>0</v>
      </c>
      <c r="G21" s="58">
        <v>1</v>
      </c>
      <c r="H21" s="59"/>
      <c r="I21" s="41">
        <v>1</v>
      </c>
    </row>
    <row r="22" spans="1:9" x14ac:dyDescent="0.25">
      <c r="G22" s="93" t="s">
        <v>194</v>
      </c>
      <c r="H22" s="73">
        <f>SUM(H16:H21)</f>
        <v>0</v>
      </c>
      <c r="I22" s="73">
        <f>SUM(I16:I21)</f>
        <v>6</v>
      </c>
    </row>
  </sheetData>
  <mergeCells count="14">
    <mergeCell ref="A2:I2"/>
    <mergeCell ref="A3:A4"/>
    <mergeCell ref="B3:B4"/>
    <mergeCell ref="C3:C4"/>
    <mergeCell ref="D3:E3"/>
    <mergeCell ref="H3:I3"/>
    <mergeCell ref="F3:F4"/>
    <mergeCell ref="G3:G4"/>
    <mergeCell ref="A13:I13"/>
    <mergeCell ref="A14:A15"/>
    <mergeCell ref="B14:B15"/>
    <mergeCell ref="C14:C15"/>
    <mergeCell ref="H14:I14"/>
    <mergeCell ref="D14:G14"/>
  </mergeCells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Header>&amp;L&amp;G&amp;R&amp;G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39"/>
  <sheetViews>
    <sheetView zoomScaleNormal="100" zoomScaleSheetLayoutView="80" workbookViewId="0">
      <selection activeCell="B26" sqref="B26"/>
    </sheetView>
  </sheetViews>
  <sheetFormatPr baseColWidth="10" defaultRowHeight="15" x14ac:dyDescent="0.25"/>
  <cols>
    <col min="1" max="1" width="1" customWidth="1"/>
    <col min="2" max="2" width="6.140625" customWidth="1"/>
    <col min="3" max="3" width="25.28515625" customWidth="1"/>
    <col min="4" max="4" width="22.7109375" customWidth="1"/>
    <col min="5" max="5" width="18.28515625" customWidth="1"/>
    <col min="6" max="6" width="14" customWidth="1"/>
    <col min="7" max="7" width="14.28515625" customWidth="1"/>
    <col min="10" max="10" width="13.7109375" customWidth="1"/>
  </cols>
  <sheetData>
    <row r="1" spans="2:10" ht="10.5" customHeight="1" x14ac:dyDescent="0.25"/>
    <row r="2" spans="2:10" ht="15.75" customHeight="1" x14ac:dyDescent="0.25">
      <c r="B2" s="219" t="s">
        <v>285</v>
      </c>
      <c r="C2" s="219"/>
      <c r="D2" s="219"/>
      <c r="E2" s="219"/>
      <c r="F2" s="219"/>
      <c r="G2" s="219"/>
      <c r="H2" s="219"/>
      <c r="I2" s="219"/>
      <c r="J2" s="219"/>
    </row>
    <row r="3" spans="2:10" ht="15.75" x14ac:dyDescent="0.25">
      <c r="B3" s="219" t="s">
        <v>221</v>
      </c>
      <c r="C3" s="219" t="s">
        <v>222</v>
      </c>
      <c r="D3" s="219" t="s">
        <v>341</v>
      </c>
      <c r="E3" s="219" t="s">
        <v>204</v>
      </c>
      <c r="F3" s="219"/>
      <c r="G3" s="213" t="s">
        <v>206</v>
      </c>
      <c r="H3" s="213" t="s">
        <v>7</v>
      </c>
      <c r="I3" s="219" t="s">
        <v>80</v>
      </c>
      <c r="J3" s="219"/>
    </row>
    <row r="4" spans="2:10" ht="110.25" x14ac:dyDescent="0.25">
      <c r="B4" s="219"/>
      <c r="C4" s="219"/>
      <c r="D4" s="219"/>
      <c r="E4" s="94" t="s">
        <v>4</v>
      </c>
      <c r="F4" s="94" t="s">
        <v>205</v>
      </c>
      <c r="G4" s="214"/>
      <c r="H4" s="214"/>
      <c r="I4" s="94" t="s">
        <v>9</v>
      </c>
      <c r="J4" s="94" t="s">
        <v>207</v>
      </c>
    </row>
    <row r="5" spans="2:10" ht="13.5" customHeight="1" x14ac:dyDescent="0.25">
      <c r="B5" s="67">
        <v>1</v>
      </c>
      <c r="C5" s="68" t="s">
        <v>238</v>
      </c>
      <c r="D5" s="86" t="s">
        <v>232</v>
      </c>
      <c r="E5" s="69">
        <v>0.13725490196078433</v>
      </c>
      <c r="F5" s="69">
        <v>3.9215686274509803E-2</v>
      </c>
      <c r="G5" s="67" t="s">
        <v>171</v>
      </c>
      <c r="H5" s="67">
        <v>51</v>
      </c>
      <c r="I5" s="70">
        <v>1</v>
      </c>
      <c r="J5" s="70"/>
    </row>
    <row r="6" spans="2:10" x14ac:dyDescent="0.25">
      <c r="B6" s="67">
        <v>2</v>
      </c>
      <c r="C6" s="68" t="s">
        <v>240</v>
      </c>
      <c r="D6" s="86" t="s">
        <v>326</v>
      </c>
      <c r="E6" s="69" t="s">
        <v>171</v>
      </c>
      <c r="F6" s="69" t="s">
        <v>171</v>
      </c>
      <c r="G6" s="67" t="s">
        <v>171</v>
      </c>
      <c r="H6" s="67" t="s">
        <v>171</v>
      </c>
      <c r="I6" s="70">
        <v>1</v>
      </c>
      <c r="J6" s="70"/>
    </row>
    <row r="7" spans="2:10" x14ac:dyDescent="0.25">
      <c r="B7" s="67">
        <v>3</v>
      </c>
      <c r="C7" s="68" t="s">
        <v>242</v>
      </c>
      <c r="D7" s="86" t="s">
        <v>232</v>
      </c>
      <c r="E7" s="69" t="s">
        <v>171</v>
      </c>
      <c r="F7" s="69" t="s">
        <v>171</v>
      </c>
      <c r="G7" s="67" t="s">
        <v>171</v>
      </c>
      <c r="H7" s="67" t="s">
        <v>171</v>
      </c>
      <c r="I7" s="70">
        <v>1</v>
      </c>
      <c r="J7" s="70"/>
    </row>
    <row r="8" spans="2:10" x14ac:dyDescent="0.25">
      <c r="B8" s="67">
        <v>4</v>
      </c>
      <c r="C8" s="68" t="s">
        <v>286</v>
      </c>
      <c r="D8" s="86" t="s">
        <v>327</v>
      </c>
      <c r="E8" s="69" t="s">
        <v>171</v>
      </c>
      <c r="F8" s="69" t="s">
        <v>171</v>
      </c>
      <c r="G8" s="67" t="s">
        <v>171</v>
      </c>
      <c r="H8" s="67" t="s">
        <v>171</v>
      </c>
      <c r="I8" s="70">
        <v>1</v>
      </c>
      <c r="J8" s="70"/>
    </row>
    <row r="9" spans="2:10" x14ac:dyDescent="0.25">
      <c r="B9" s="67">
        <v>5</v>
      </c>
      <c r="C9" s="68" t="s">
        <v>287</v>
      </c>
      <c r="D9" s="86" t="s">
        <v>232</v>
      </c>
      <c r="E9" s="69" t="s">
        <v>171</v>
      </c>
      <c r="F9" s="69" t="s">
        <v>171</v>
      </c>
      <c r="G9" s="67" t="s">
        <v>171</v>
      </c>
      <c r="H9" s="67" t="s">
        <v>171</v>
      </c>
      <c r="I9" s="70">
        <v>1</v>
      </c>
      <c r="J9" s="70"/>
    </row>
    <row r="10" spans="2:10" x14ac:dyDescent="0.25">
      <c r="B10" s="67">
        <v>6</v>
      </c>
      <c r="C10" s="68" t="s">
        <v>288</v>
      </c>
      <c r="D10" s="86" t="s">
        <v>232</v>
      </c>
      <c r="E10" s="69" t="s">
        <v>171</v>
      </c>
      <c r="F10" s="69" t="s">
        <v>171</v>
      </c>
      <c r="G10" s="67" t="s">
        <v>171</v>
      </c>
      <c r="H10" s="67" t="s">
        <v>171</v>
      </c>
      <c r="I10" s="70">
        <v>1</v>
      </c>
      <c r="J10" s="70"/>
    </row>
    <row r="11" spans="2:10" x14ac:dyDescent="0.25">
      <c r="B11" s="67">
        <v>7</v>
      </c>
      <c r="C11" s="68" t="s">
        <v>289</v>
      </c>
      <c r="D11" s="86" t="s">
        <v>328</v>
      </c>
      <c r="E11" s="69" t="s">
        <v>171</v>
      </c>
      <c r="F11" s="69" t="s">
        <v>171</v>
      </c>
      <c r="G11" s="67" t="s">
        <v>171</v>
      </c>
      <c r="H11" s="67" t="s">
        <v>171</v>
      </c>
      <c r="I11" s="70">
        <v>1</v>
      </c>
      <c r="J11" s="70"/>
    </row>
    <row r="12" spans="2:10" x14ac:dyDescent="0.25">
      <c r="B12" s="67">
        <v>8</v>
      </c>
      <c r="C12" s="68" t="s">
        <v>445</v>
      </c>
      <c r="D12" s="86" t="s">
        <v>329</v>
      </c>
      <c r="E12" s="69">
        <v>4.0540540540540543E-2</v>
      </c>
      <c r="F12" s="69">
        <v>4.0540540540540543E-2</v>
      </c>
      <c r="G12" s="67" t="s">
        <v>171</v>
      </c>
      <c r="H12" s="67">
        <v>74</v>
      </c>
      <c r="I12" s="70">
        <v>1</v>
      </c>
      <c r="J12" s="70"/>
    </row>
    <row r="13" spans="2:10" x14ac:dyDescent="0.25">
      <c r="B13" s="67">
        <v>9</v>
      </c>
      <c r="C13" s="68" t="s">
        <v>290</v>
      </c>
      <c r="D13" s="86" t="s">
        <v>330</v>
      </c>
      <c r="E13" s="69" t="s">
        <v>171</v>
      </c>
      <c r="F13" s="69" t="s">
        <v>171</v>
      </c>
      <c r="G13" s="67" t="s">
        <v>171</v>
      </c>
      <c r="H13" s="67" t="s">
        <v>171</v>
      </c>
      <c r="I13" s="70">
        <v>1</v>
      </c>
      <c r="J13" s="70"/>
    </row>
    <row r="14" spans="2:10" x14ac:dyDescent="0.25">
      <c r="B14" s="67">
        <v>10</v>
      </c>
      <c r="C14" s="68" t="s">
        <v>446</v>
      </c>
      <c r="D14" s="86" t="s">
        <v>331</v>
      </c>
      <c r="E14" s="69">
        <v>0.51666666666666672</v>
      </c>
      <c r="F14" s="69">
        <v>0.11666666666666667</v>
      </c>
      <c r="G14" s="67" t="s">
        <v>171</v>
      </c>
      <c r="H14" s="67">
        <v>60</v>
      </c>
      <c r="I14" s="70">
        <v>1</v>
      </c>
      <c r="J14" s="70"/>
    </row>
    <row r="15" spans="2:10" x14ac:dyDescent="0.25">
      <c r="B15" s="67">
        <v>11</v>
      </c>
      <c r="C15" s="68" t="s">
        <v>291</v>
      </c>
      <c r="D15" s="86" t="s">
        <v>332</v>
      </c>
      <c r="E15" s="69" t="s">
        <v>171</v>
      </c>
      <c r="F15" s="69" t="s">
        <v>171</v>
      </c>
      <c r="G15" s="67" t="s">
        <v>171</v>
      </c>
      <c r="H15" s="67" t="s">
        <v>171</v>
      </c>
      <c r="I15" s="70">
        <v>1</v>
      </c>
      <c r="J15" s="70"/>
    </row>
    <row r="16" spans="2:10" x14ac:dyDescent="0.25">
      <c r="B16" s="67">
        <v>12</v>
      </c>
      <c r="C16" s="68" t="s">
        <v>292</v>
      </c>
      <c r="D16" s="86" t="s">
        <v>232</v>
      </c>
      <c r="E16" s="69" t="s">
        <v>171</v>
      </c>
      <c r="F16" s="69" t="s">
        <v>171</v>
      </c>
      <c r="G16" s="67" t="s">
        <v>171</v>
      </c>
      <c r="H16" s="67" t="s">
        <v>171</v>
      </c>
      <c r="I16" s="70">
        <v>1</v>
      </c>
      <c r="J16" s="70"/>
    </row>
    <row r="17" spans="2:10" x14ac:dyDescent="0.25">
      <c r="B17" s="67">
        <v>13</v>
      </c>
      <c r="C17" s="68" t="s">
        <v>293</v>
      </c>
      <c r="D17" s="86" t="s">
        <v>333</v>
      </c>
      <c r="E17" s="69" t="s">
        <v>171</v>
      </c>
      <c r="F17" s="69" t="s">
        <v>171</v>
      </c>
      <c r="G17" s="67" t="s">
        <v>171</v>
      </c>
      <c r="H17" s="67" t="s">
        <v>171</v>
      </c>
      <c r="I17" s="70">
        <v>1</v>
      </c>
      <c r="J17" s="70"/>
    </row>
    <row r="18" spans="2:10" x14ac:dyDescent="0.25">
      <c r="B18" s="67">
        <v>14</v>
      </c>
      <c r="C18" s="68" t="s">
        <v>294</v>
      </c>
      <c r="D18" s="86" t="s">
        <v>334</v>
      </c>
      <c r="E18" s="69" t="s">
        <v>171</v>
      </c>
      <c r="F18" s="69" t="s">
        <v>171</v>
      </c>
      <c r="G18" s="67" t="s">
        <v>171</v>
      </c>
      <c r="H18" s="67" t="s">
        <v>171</v>
      </c>
      <c r="I18" s="70">
        <v>1</v>
      </c>
      <c r="J18" s="70"/>
    </row>
    <row r="19" spans="2:10" x14ac:dyDescent="0.25">
      <c r="B19" s="67">
        <v>15</v>
      </c>
      <c r="C19" s="68" t="s">
        <v>295</v>
      </c>
      <c r="D19" s="86" t="s">
        <v>333</v>
      </c>
      <c r="E19" s="69" t="s">
        <v>171</v>
      </c>
      <c r="F19" s="69" t="s">
        <v>171</v>
      </c>
      <c r="G19" s="67" t="s">
        <v>171</v>
      </c>
      <c r="H19" s="67" t="s">
        <v>171</v>
      </c>
      <c r="I19" s="70">
        <v>1</v>
      </c>
      <c r="J19" s="70"/>
    </row>
    <row r="20" spans="2:10" x14ac:dyDescent="0.25">
      <c r="B20" s="67">
        <v>16</v>
      </c>
      <c r="C20" s="68" t="s">
        <v>296</v>
      </c>
      <c r="D20" s="86" t="s">
        <v>335</v>
      </c>
      <c r="E20" s="69" t="s">
        <v>171</v>
      </c>
      <c r="F20" s="69" t="s">
        <v>171</v>
      </c>
      <c r="G20" s="67" t="s">
        <v>171</v>
      </c>
      <c r="H20" s="67" t="s">
        <v>171</v>
      </c>
      <c r="I20" s="70">
        <v>1</v>
      </c>
      <c r="J20" s="70"/>
    </row>
    <row r="21" spans="2:10" x14ac:dyDescent="0.25">
      <c r="B21" s="67">
        <v>17</v>
      </c>
      <c r="C21" s="68" t="s">
        <v>297</v>
      </c>
      <c r="D21" s="86" t="s">
        <v>336</v>
      </c>
      <c r="E21" s="69">
        <v>0.05</v>
      </c>
      <c r="F21" s="69">
        <v>0.1</v>
      </c>
      <c r="G21" s="67" t="s">
        <v>171</v>
      </c>
      <c r="H21" s="67">
        <v>60</v>
      </c>
      <c r="I21" s="70">
        <v>1</v>
      </c>
      <c r="J21" s="70"/>
    </row>
    <row r="22" spans="2:10" x14ac:dyDescent="0.25">
      <c r="B22" s="67">
        <v>18</v>
      </c>
      <c r="C22" s="68" t="s">
        <v>298</v>
      </c>
      <c r="D22" s="86" t="s">
        <v>337</v>
      </c>
      <c r="E22" s="69">
        <v>0.21666666666666667</v>
      </c>
      <c r="F22" s="69">
        <v>3.3333333333333333E-2</v>
      </c>
      <c r="G22" s="67" t="s">
        <v>171</v>
      </c>
      <c r="H22" s="67">
        <v>60</v>
      </c>
      <c r="I22" s="70">
        <v>1</v>
      </c>
      <c r="J22" s="70"/>
    </row>
    <row r="23" spans="2:10" x14ac:dyDescent="0.25">
      <c r="B23" s="67">
        <v>19</v>
      </c>
      <c r="C23" s="68" t="s">
        <v>299</v>
      </c>
      <c r="D23" s="86" t="s">
        <v>338</v>
      </c>
      <c r="E23" s="69" t="s">
        <v>171</v>
      </c>
      <c r="F23" s="69" t="s">
        <v>171</v>
      </c>
      <c r="G23" s="67" t="s">
        <v>171</v>
      </c>
      <c r="H23" s="67" t="s">
        <v>171</v>
      </c>
      <c r="I23" s="70">
        <v>1</v>
      </c>
      <c r="J23" s="70"/>
    </row>
    <row r="24" spans="2:10" x14ac:dyDescent="0.25">
      <c r="B24" s="67">
        <v>20</v>
      </c>
      <c r="C24" s="68" t="s">
        <v>300</v>
      </c>
      <c r="D24" s="86" t="s">
        <v>339</v>
      </c>
      <c r="E24" s="69">
        <v>0.1111111111111111</v>
      </c>
      <c r="F24" s="69">
        <v>7.9365079365079361E-2</v>
      </c>
      <c r="G24" s="67" t="s">
        <v>171</v>
      </c>
      <c r="H24" s="67">
        <v>63</v>
      </c>
      <c r="I24" s="70">
        <v>1</v>
      </c>
      <c r="J24" s="70"/>
    </row>
    <row r="25" spans="2:10" x14ac:dyDescent="0.25">
      <c r="H25" s="93" t="s">
        <v>194</v>
      </c>
      <c r="I25" s="73">
        <v>20</v>
      </c>
      <c r="J25" s="73">
        <f>SUM(J5:J24)</f>
        <v>0</v>
      </c>
    </row>
    <row r="27" spans="2:10" x14ac:dyDescent="0.25">
      <c r="C27" s="71" t="s">
        <v>309</v>
      </c>
    </row>
    <row r="28" spans="2:10" ht="15.75" x14ac:dyDescent="0.25">
      <c r="C28" s="94" t="s">
        <v>303</v>
      </c>
      <c r="D28" s="94" t="s">
        <v>192</v>
      </c>
      <c r="E28" s="94" t="s">
        <v>193</v>
      </c>
    </row>
    <row r="29" spans="2:10" ht="39" x14ac:dyDescent="0.25">
      <c r="C29" s="68" t="s">
        <v>302</v>
      </c>
      <c r="D29" s="233" t="s">
        <v>304</v>
      </c>
      <c r="E29" s="68" t="s">
        <v>305</v>
      </c>
    </row>
    <row r="30" spans="2:10" ht="51.75" x14ac:dyDescent="0.25">
      <c r="C30" s="68" t="s">
        <v>301</v>
      </c>
      <c r="D30" s="234"/>
      <c r="E30" s="68" t="s">
        <v>306</v>
      </c>
    </row>
    <row r="31" spans="2:10" x14ac:dyDescent="0.25">
      <c r="C31" s="72" t="s">
        <v>310</v>
      </c>
    </row>
    <row r="34" spans="2:6" ht="15.75" x14ac:dyDescent="0.25">
      <c r="B34" s="236" t="s">
        <v>315</v>
      </c>
      <c r="C34" s="236"/>
      <c r="D34" s="236"/>
      <c r="E34" s="236"/>
      <c r="F34" s="236"/>
    </row>
    <row r="35" spans="2:6" ht="15.75" x14ac:dyDescent="0.25">
      <c r="B35" s="83" t="s">
        <v>195</v>
      </c>
      <c r="C35" s="238" t="s">
        <v>197</v>
      </c>
      <c r="D35" s="238"/>
      <c r="E35" s="239" t="s">
        <v>325</v>
      </c>
      <c r="F35" s="240"/>
    </row>
    <row r="36" spans="2:6" ht="76.5" x14ac:dyDescent="0.25">
      <c r="B36" s="237" t="s">
        <v>172</v>
      </c>
      <c r="C36" s="79" t="s">
        <v>196</v>
      </c>
      <c r="D36" s="48" t="s">
        <v>322</v>
      </c>
      <c r="E36" s="41" t="s">
        <v>323</v>
      </c>
      <c r="F36" s="79">
        <v>7</v>
      </c>
    </row>
    <row r="37" spans="2:6" ht="38.25" x14ac:dyDescent="0.25">
      <c r="B37" s="237"/>
      <c r="C37" s="79" t="s">
        <v>198</v>
      </c>
      <c r="D37" s="49" t="s">
        <v>189</v>
      </c>
      <c r="E37" s="41" t="s">
        <v>324</v>
      </c>
      <c r="F37" s="79">
        <v>4</v>
      </c>
    </row>
    <row r="38" spans="2:6" ht="15.75" x14ac:dyDescent="0.25">
      <c r="B38" s="235" t="s">
        <v>194</v>
      </c>
      <c r="C38" s="235"/>
      <c r="D38" s="235"/>
      <c r="E38" s="50"/>
      <c r="F38" s="50">
        <v>11</v>
      </c>
    </row>
    <row r="39" spans="2:6" x14ac:dyDescent="0.25">
      <c r="B39" s="75"/>
    </row>
  </sheetData>
  <mergeCells count="14">
    <mergeCell ref="B38:D38"/>
    <mergeCell ref="B34:F34"/>
    <mergeCell ref="B36:B37"/>
    <mergeCell ref="C35:D35"/>
    <mergeCell ref="E35:F35"/>
    <mergeCell ref="D29:D30"/>
    <mergeCell ref="B2:J2"/>
    <mergeCell ref="B3:B4"/>
    <mergeCell ref="C3:C4"/>
    <mergeCell ref="D3:D4"/>
    <mergeCell ref="E3:F3"/>
    <mergeCell ref="I3:J3"/>
    <mergeCell ref="G3:G4"/>
    <mergeCell ref="H3:H4"/>
  </mergeCells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&amp;L&amp;G&amp;R&amp;G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zoomScale="90" zoomScaleNormal="90" workbookViewId="0">
      <selection activeCell="D27" sqref="D27"/>
    </sheetView>
  </sheetViews>
  <sheetFormatPr baseColWidth="10" defaultRowHeight="15" x14ac:dyDescent="0.25"/>
  <cols>
    <col min="1" max="1" width="4.7109375" style="1" customWidth="1"/>
    <col min="2" max="2" width="67.28515625" customWidth="1"/>
    <col min="3" max="3" width="57.7109375" customWidth="1"/>
    <col min="4" max="4" width="27.42578125" customWidth="1"/>
    <col min="5" max="5" width="10.7109375" customWidth="1"/>
    <col min="6" max="6" width="11.42578125" customWidth="1"/>
    <col min="7" max="8" width="10.7109375" customWidth="1"/>
    <col min="9" max="9" width="14.28515625" customWidth="1"/>
    <col min="10" max="10" width="16.42578125" style="1" customWidth="1"/>
    <col min="11" max="11" width="0" hidden="1" customWidth="1"/>
    <col min="12" max="13" width="20.140625" customWidth="1"/>
  </cols>
  <sheetData>
    <row r="1" spans="1:13" ht="15.75" x14ac:dyDescent="0.25">
      <c r="B1" s="243" t="s">
        <v>160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</row>
    <row r="2" spans="1:13" x14ac:dyDescent="0.25">
      <c r="A2" s="249" t="s">
        <v>82</v>
      </c>
      <c r="B2" s="249" t="s">
        <v>0</v>
      </c>
      <c r="C2" s="249" t="s">
        <v>1</v>
      </c>
      <c r="D2" s="8" t="s">
        <v>66</v>
      </c>
      <c r="E2" s="244" t="s">
        <v>3</v>
      </c>
      <c r="F2" s="245"/>
      <c r="G2" s="245"/>
      <c r="H2" s="246"/>
      <c r="I2" s="8"/>
      <c r="J2" s="13"/>
      <c r="K2" s="8"/>
      <c r="L2" s="244" t="s">
        <v>10</v>
      </c>
      <c r="M2" s="246"/>
    </row>
    <row r="3" spans="1:13" ht="48" customHeight="1" x14ac:dyDescent="0.25">
      <c r="A3" s="250"/>
      <c r="B3" s="250"/>
      <c r="C3" s="250"/>
      <c r="D3" s="241" t="s">
        <v>2</v>
      </c>
      <c r="E3" s="247" t="s">
        <v>115</v>
      </c>
      <c r="F3" s="248"/>
      <c r="G3" s="247" t="s">
        <v>116</v>
      </c>
      <c r="H3" s="248"/>
      <c r="I3" s="241" t="s">
        <v>6</v>
      </c>
      <c r="J3" s="241" t="s">
        <v>7</v>
      </c>
      <c r="K3" s="241" t="s">
        <v>8</v>
      </c>
      <c r="L3" s="241" t="s">
        <v>9</v>
      </c>
      <c r="M3" s="241" t="s">
        <v>11</v>
      </c>
    </row>
    <row r="4" spans="1:13" x14ac:dyDescent="0.25">
      <c r="A4" s="251"/>
      <c r="B4" s="251"/>
      <c r="C4" s="251"/>
      <c r="D4" s="242"/>
      <c r="E4" s="9" t="s">
        <v>113</v>
      </c>
      <c r="F4" s="9" t="s">
        <v>114</v>
      </c>
      <c r="G4" s="9" t="s">
        <v>113</v>
      </c>
      <c r="H4" s="9" t="s">
        <v>114</v>
      </c>
      <c r="I4" s="242"/>
      <c r="J4" s="242"/>
      <c r="K4" s="242"/>
      <c r="L4" s="242"/>
      <c r="M4" s="242"/>
    </row>
    <row r="5" spans="1:13" ht="15.95" customHeight="1" x14ac:dyDescent="0.25">
      <c r="A5" s="11">
        <v>1</v>
      </c>
      <c r="B5" s="10" t="s">
        <v>31</v>
      </c>
      <c r="C5" s="16" t="s">
        <v>32</v>
      </c>
      <c r="D5" s="22" t="s">
        <v>109</v>
      </c>
      <c r="E5" s="252" t="s">
        <v>112</v>
      </c>
      <c r="F5" s="253"/>
      <c r="G5" s="253"/>
      <c r="H5" s="254"/>
      <c r="I5" s="23"/>
      <c r="J5" s="24" t="s">
        <v>112</v>
      </c>
      <c r="K5" s="23"/>
      <c r="L5" s="23"/>
      <c r="M5" s="23"/>
    </row>
    <row r="6" spans="1:13" ht="15.95" customHeight="1" x14ac:dyDescent="0.25">
      <c r="A6" s="11">
        <v>2</v>
      </c>
      <c r="B6" s="10" t="s">
        <v>31</v>
      </c>
      <c r="C6" s="16" t="s">
        <v>33</v>
      </c>
      <c r="D6" s="22" t="s">
        <v>109</v>
      </c>
      <c r="E6" s="252" t="s">
        <v>112</v>
      </c>
      <c r="F6" s="253"/>
      <c r="G6" s="253"/>
      <c r="H6" s="254"/>
      <c r="I6" s="23"/>
      <c r="J6" s="24" t="s">
        <v>112</v>
      </c>
      <c r="K6" s="23"/>
      <c r="L6" s="23"/>
      <c r="M6" s="23"/>
    </row>
    <row r="7" spans="1:13" ht="15.95" customHeight="1" x14ac:dyDescent="0.25">
      <c r="A7" s="11">
        <v>3</v>
      </c>
      <c r="B7" s="10" t="s">
        <v>31</v>
      </c>
      <c r="C7" s="16" t="s">
        <v>34</v>
      </c>
      <c r="D7" s="22" t="s">
        <v>109</v>
      </c>
      <c r="E7" s="252" t="s">
        <v>112</v>
      </c>
      <c r="F7" s="253"/>
      <c r="G7" s="253"/>
      <c r="H7" s="254"/>
      <c r="I7" s="23"/>
      <c r="J7" s="24" t="s">
        <v>112</v>
      </c>
      <c r="K7" s="23"/>
      <c r="L7" s="23"/>
      <c r="M7" s="23"/>
    </row>
    <row r="8" spans="1:13" ht="15.95" customHeight="1" x14ac:dyDescent="0.25">
      <c r="A8" s="11">
        <v>4</v>
      </c>
      <c r="B8" s="10" t="s">
        <v>31</v>
      </c>
      <c r="C8" s="17" t="s">
        <v>35</v>
      </c>
      <c r="D8" s="22" t="s">
        <v>72</v>
      </c>
      <c r="E8" s="252" t="s">
        <v>112</v>
      </c>
      <c r="F8" s="253"/>
      <c r="G8" s="253"/>
      <c r="H8" s="254"/>
      <c r="I8" s="23"/>
      <c r="J8" s="24" t="s">
        <v>112</v>
      </c>
      <c r="K8" s="23"/>
      <c r="L8" s="23"/>
      <c r="M8" s="23"/>
    </row>
    <row r="9" spans="1:13" ht="15.95" customHeight="1" x14ac:dyDescent="0.25">
      <c r="A9" s="11">
        <v>5</v>
      </c>
      <c r="B9" s="10" t="s">
        <v>31</v>
      </c>
      <c r="C9" s="17" t="s">
        <v>36</v>
      </c>
      <c r="D9" s="22" t="s">
        <v>110</v>
      </c>
      <c r="E9" s="25">
        <v>0</v>
      </c>
      <c r="F9" s="25">
        <v>0.35526315789473684</v>
      </c>
      <c r="G9" s="25">
        <v>0</v>
      </c>
      <c r="H9" s="25">
        <v>3.9473684210526314E-2</v>
      </c>
      <c r="I9" s="23"/>
      <c r="J9" s="28" t="s">
        <v>136</v>
      </c>
      <c r="K9" s="23"/>
      <c r="L9" s="23"/>
      <c r="M9" s="23"/>
    </row>
    <row r="10" spans="1:13" ht="15.95" customHeight="1" x14ac:dyDescent="0.25">
      <c r="A10" s="11">
        <v>6</v>
      </c>
      <c r="B10" s="10" t="s">
        <v>31</v>
      </c>
      <c r="C10" s="17" t="s">
        <v>37</v>
      </c>
      <c r="D10" s="22" t="s">
        <v>137</v>
      </c>
      <c r="E10" s="252" t="s">
        <v>112</v>
      </c>
      <c r="F10" s="253"/>
      <c r="G10" s="253"/>
      <c r="H10" s="254"/>
      <c r="I10" s="23"/>
      <c r="J10" s="24" t="s">
        <v>112</v>
      </c>
      <c r="K10" s="23"/>
      <c r="L10" s="23"/>
      <c r="M10" s="23"/>
    </row>
    <row r="11" spans="1:13" ht="15.95" customHeight="1" x14ac:dyDescent="0.25">
      <c r="A11" s="11">
        <v>7</v>
      </c>
      <c r="B11" s="10" t="s">
        <v>31</v>
      </c>
      <c r="C11" s="17" t="s">
        <v>38</v>
      </c>
      <c r="D11" s="26" t="s">
        <v>138</v>
      </c>
      <c r="E11" s="252" t="s">
        <v>112</v>
      </c>
      <c r="F11" s="253"/>
      <c r="G11" s="253"/>
      <c r="H11" s="254"/>
      <c r="I11" s="23"/>
      <c r="J11" s="24" t="s">
        <v>112</v>
      </c>
      <c r="K11" s="23"/>
      <c r="L11" s="23"/>
      <c r="M11" s="23"/>
    </row>
    <row r="12" spans="1:13" ht="15.95" customHeight="1" x14ac:dyDescent="0.25">
      <c r="A12" s="11">
        <v>8</v>
      </c>
      <c r="B12" s="10" t="s">
        <v>31</v>
      </c>
      <c r="C12" s="17" t="s">
        <v>39</v>
      </c>
      <c r="D12" s="26" t="s">
        <v>149</v>
      </c>
      <c r="E12" s="25">
        <v>0</v>
      </c>
      <c r="F12" s="25">
        <v>0.10843373493975904</v>
      </c>
      <c r="G12" s="25">
        <v>0</v>
      </c>
      <c r="H12" s="25">
        <v>2.4096385542168676E-2</v>
      </c>
      <c r="I12" s="23"/>
      <c r="J12" s="29">
        <v>83</v>
      </c>
      <c r="K12" s="23"/>
      <c r="L12" s="23"/>
      <c r="M12" s="23"/>
    </row>
    <row r="13" spans="1:13" ht="19.5" customHeight="1" x14ac:dyDescent="0.25">
      <c r="A13" s="11">
        <v>9</v>
      </c>
      <c r="B13" s="10" t="s">
        <v>31</v>
      </c>
      <c r="C13" s="19" t="s">
        <v>156</v>
      </c>
      <c r="D13" s="22" t="s">
        <v>140</v>
      </c>
      <c r="E13" s="252" t="s">
        <v>112</v>
      </c>
      <c r="F13" s="253"/>
      <c r="G13" s="253"/>
      <c r="H13" s="254"/>
      <c r="I13" s="23"/>
      <c r="J13" s="24" t="s">
        <v>112</v>
      </c>
      <c r="K13" s="23"/>
      <c r="L13" s="23"/>
      <c r="M13" s="23"/>
    </row>
    <row r="14" spans="1:13" ht="15.95" customHeight="1" x14ac:dyDescent="0.25">
      <c r="A14" s="11">
        <v>10</v>
      </c>
      <c r="B14" s="10" t="s">
        <v>31</v>
      </c>
      <c r="C14" s="18" t="s">
        <v>40</v>
      </c>
      <c r="D14" s="22" t="s">
        <v>141</v>
      </c>
      <c r="E14" s="25">
        <v>0</v>
      </c>
      <c r="F14" s="25">
        <v>3.9473684210526314E-2</v>
      </c>
      <c r="G14" s="25">
        <v>0</v>
      </c>
      <c r="H14" s="25">
        <v>1.3157894736842105E-2</v>
      </c>
      <c r="I14" s="23"/>
      <c r="J14" s="29">
        <v>76</v>
      </c>
      <c r="K14" s="23"/>
      <c r="L14" s="23"/>
      <c r="M14" s="23"/>
    </row>
    <row r="15" spans="1:13" ht="15.95" customHeight="1" x14ac:dyDescent="0.25">
      <c r="A15" s="11">
        <v>11</v>
      </c>
      <c r="B15" s="10" t="s">
        <v>31</v>
      </c>
      <c r="C15" s="18" t="s">
        <v>41</v>
      </c>
      <c r="D15" s="22" t="s">
        <v>142</v>
      </c>
      <c r="E15" s="252" t="s">
        <v>112</v>
      </c>
      <c r="F15" s="253"/>
      <c r="G15" s="253"/>
      <c r="H15" s="254"/>
      <c r="I15" s="23"/>
      <c r="J15" s="24" t="s">
        <v>112</v>
      </c>
      <c r="K15" s="23"/>
      <c r="L15" s="23"/>
      <c r="M15" s="23"/>
    </row>
    <row r="16" spans="1:13" ht="15.95" customHeight="1" x14ac:dyDescent="0.25">
      <c r="A16" s="11">
        <v>12</v>
      </c>
      <c r="B16" s="10" t="s">
        <v>31</v>
      </c>
      <c r="C16" s="18" t="s">
        <v>42</v>
      </c>
      <c r="D16" s="22" t="s">
        <v>143</v>
      </c>
      <c r="E16" s="252" t="s">
        <v>112</v>
      </c>
      <c r="F16" s="253"/>
      <c r="G16" s="253"/>
      <c r="H16" s="254"/>
      <c r="I16" s="23"/>
      <c r="J16" s="24" t="s">
        <v>112</v>
      </c>
      <c r="K16" s="23"/>
      <c r="L16" s="23"/>
      <c r="M16" s="23"/>
    </row>
    <row r="17" spans="1:13" ht="15.95" customHeight="1" x14ac:dyDescent="0.25">
      <c r="A17" s="11">
        <v>13</v>
      </c>
      <c r="B17" s="10" t="s">
        <v>31</v>
      </c>
      <c r="C17" s="18" t="s">
        <v>43</v>
      </c>
      <c r="D17" s="22" t="s">
        <v>144</v>
      </c>
      <c r="E17" s="252" t="s">
        <v>112</v>
      </c>
      <c r="F17" s="253"/>
      <c r="G17" s="253"/>
      <c r="H17" s="254"/>
      <c r="I17" s="23"/>
      <c r="J17" s="24" t="s">
        <v>112</v>
      </c>
      <c r="K17" s="23"/>
      <c r="L17" s="23"/>
      <c r="M17" s="23"/>
    </row>
    <row r="18" spans="1:13" ht="15.95" customHeight="1" x14ac:dyDescent="0.25">
      <c r="A18" s="11">
        <v>14</v>
      </c>
      <c r="B18" s="10" t="s">
        <v>31</v>
      </c>
      <c r="C18" s="18" t="s">
        <v>44</v>
      </c>
      <c r="D18" s="22" t="s">
        <v>145</v>
      </c>
      <c r="E18" s="252" t="s">
        <v>112</v>
      </c>
      <c r="F18" s="253"/>
      <c r="G18" s="253"/>
      <c r="H18" s="254"/>
      <c r="I18" s="23"/>
      <c r="J18" s="24" t="s">
        <v>112</v>
      </c>
      <c r="K18" s="23"/>
      <c r="L18" s="23"/>
      <c r="M18" s="23"/>
    </row>
    <row r="19" spans="1:13" ht="15.95" customHeight="1" x14ac:dyDescent="0.25">
      <c r="A19" s="11">
        <v>15</v>
      </c>
      <c r="B19" s="10" t="s">
        <v>31</v>
      </c>
      <c r="C19" s="18" t="s">
        <v>45</v>
      </c>
      <c r="D19" s="22" t="s">
        <v>146</v>
      </c>
      <c r="E19" s="252" t="s">
        <v>112</v>
      </c>
      <c r="F19" s="253"/>
      <c r="G19" s="253"/>
      <c r="H19" s="254"/>
      <c r="I19" s="23"/>
      <c r="J19" s="24" t="s">
        <v>112</v>
      </c>
      <c r="K19" s="23"/>
      <c r="L19" s="23"/>
      <c r="M19" s="23"/>
    </row>
    <row r="20" spans="1:13" ht="15.95" customHeight="1" x14ac:dyDescent="0.25">
      <c r="A20" s="11">
        <v>16</v>
      </c>
      <c r="B20" s="10" t="s">
        <v>31</v>
      </c>
      <c r="C20" s="18" t="s">
        <v>46</v>
      </c>
      <c r="D20" s="22" t="s">
        <v>147</v>
      </c>
      <c r="E20" s="252" t="s">
        <v>112</v>
      </c>
      <c r="F20" s="253"/>
      <c r="G20" s="253"/>
      <c r="H20" s="254"/>
      <c r="I20" s="23"/>
      <c r="J20" s="24" t="s">
        <v>112</v>
      </c>
      <c r="K20" s="23"/>
      <c r="L20" s="23"/>
      <c r="M20" s="23"/>
    </row>
    <row r="21" spans="1:13" ht="15.95" customHeight="1" x14ac:dyDescent="0.25">
      <c r="A21" s="11">
        <v>17</v>
      </c>
      <c r="B21" s="10" t="s">
        <v>31</v>
      </c>
      <c r="C21" s="18" t="s">
        <v>47</v>
      </c>
      <c r="D21" s="22" t="s">
        <v>148</v>
      </c>
      <c r="E21" s="25">
        <v>0</v>
      </c>
      <c r="F21" s="25">
        <v>4.7619047619047616E-2</v>
      </c>
      <c r="G21" s="25">
        <v>0</v>
      </c>
      <c r="H21" s="25">
        <v>0</v>
      </c>
      <c r="I21" s="23"/>
      <c r="J21" s="29">
        <v>63</v>
      </c>
      <c r="K21" s="23"/>
      <c r="L21" s="23"/>
      <c r="M21" s="23"/>
    </row>
    <row r="22" spans="1:13" ht="15.95" customHeight="1" x14ac:dyDescent="0.25">
      <c r="A22" s="11">
        <v>18</v>
      </c>
      <c r="B22" s="10" t="s">
        <v>31</v>
      </c>
      <c r="C22" s="18" t="s">
        <v>48</v>
      </c>
      <c r="D22" s="22" t="s">
        <v>139</v>
      </c>
      <c r="E22" s="252" t="s">
        <v>112</v>
      </c>
      <c r="F22" s="253"/>
      <c r="G22" s="253"/>
      <c r="H22" s="254"/>
      <c r="I22" s="23"/>
      <c r="J22" s="24" t="s">
        <v>112</v>
      </c>
      <c r="K22" s="23"/>
      <c r="L22" s="23"/>
      <c r="M22" s="23"/>
    </row>
    <row r="23" spans="1:13" ht="15.95" customHeight="1" x14ac:dyDescent="0.25">
      <c r="A23" s="11">
        <v>19</v>
      </c>
      <c r="B23" s="10" t="s">
        <v>31</v>
      </c>
      <c r="C23" s="18" t="s">
        <v>49</v>
      </c>
      <c r="D23" s="22" t="s">
        <v>140</v>
      </c>
      <c r="E23" s="252" t="s">
        <v>112</v>
      </c>
      <c r="F23" s="253"/>
      <c r="G23" s="253"/>
      <c r="H23" s="254"/>
      <c r="I23" s="23"/>
      <c r="J23" s="24" t="s">
        <v>112</v>
      </c>
      <c r="K23" s="23"/>
      <c r="L23" s="23"/>
      <c r="M23" s="23"/>
    </row>
    <row r="24" spans="1:13" ht="15.95" customHeight="1" x14ac:dyDescent="0.25">
      <c r="A24" s="11">
        <v>20</v>
      </c>
      <c r="B24" s="10" t="s">
        <v>50</v>
      </c>
      <c r="C24" s="20" t="s">
        <v>51</v>
      </c>
      <c r="D24" s="22" t="s">
        <v>157</v>
      </c>
      <c r="E24" s="252" t="s">
        <v>112</v>
      </c>
      <c r="F24" s="253"/>
      <c r="G24" s="253"/>
      <c r="H24" s="254"/>
      <c r="I24" s="23"/>
      <c r="J24" s="24" t="s">
        <v>112</v>
      </c>
      <c r="K24" s="23"/>
      <c r="L24" s="23"/>
      <c r="M24" s="23"/>
    </row>
    <row r="25" spans="1:13" ht="15.95" customHeight="1" x14ac:dyDescent="0.25">
      <c r="A25" s="11">
        <v>21</v>
      </c>
      <c r="B25" s="10" t="s">
        <v>50</v>
      </c>
      <c r="C25" s="21" t="s">
        <v>14</v>
      </c>
      <c r="D25" s="22" t="s">
        <v>158</v>
      </c>
      <c r="E25" s="25">
        <v>0</v>
      </c>
      <c r="F25" s="25">
        <v>1.2658227848101266E-2</v>
      </c>
      <c r="G25" s="25">
        <v>0</v>
      </c>
      <c r="H25" s="25">
        <v>1.2658227848101266E-2</v>
      </c>
      <c r="I25" s="23"/>
      <c r="J25" s="29">
        <v>80</v>
      </c>
      <c r="K25" s="23"/>
      <c r="L25" s="23"/>
      <c r="M25" s="23"/>
    </row>
    <row r="26" spans="1:13" ht="15.95" customHeight="1" x14ac:dyDescent="0.25">
      <c r="A26" s="11">
        <v>22</v>
      </c>
      <c r="B26" s="10" t="s">
        <v>50</v>
      </c>
      <c r="C26" s="21" t="s">
        <v>52</v>
      </c>
      <c r="D26" s="22" t="s">
        <v>159</v>
      </c>
      <c r="E26" s="25">
        <v>0</v>
      </c>
      <c r="F26" s="25">
        <v>2.5974025974025976E-2</v>
      </c>
      <c r="G26" s="25">
        <v>0</v>
      </c>
      <c r="H26" s="25">
        <v>0</v>
      </c>
      <c r="I26" s="23"/>
      <c r="J26" s="29">
        <v>77</v>
      </c>
      <c r="K26" s="23"/>
      <c r="L26" s="23"/>
      <c r="M26" s="23"/>
    </row>
    <row r="27" spans="1:13" ht="15.95" customHeight="1" x14ac:dyDescent="0.25">
      <c r="A27" s="11">
        <v>23</v>
      </c>
      <c r="B27" s="10" t="s">
        <v>50</v>
      </c>
      <c r="C27" s="21" t="s">
        <v>53</v>
      </c>
      <c r="D27" s="22" t="s">
        <v>73</v>
      </c>
      <c r="E27" s="252" t="s">
        <v>112</v>
      </c>
      <c r="F27" s="253"/>
      <c r="G27" s="253"/>
      <c r="H27" s="254"/>
      <c r="I27" s="23"/>
      <c r="J27" s="24" t="s">
        <v>112</v>
      </c>
      <c r="K27" s="23"/>
      <c r="L27" s="23"/>
      <c r="M27" s="23"/>
    </row>
    <row r="28" spans="1:13" ht="15.95" customHeight="1" x14ac:dyDescent="0.25">
      <c r="A28" s="11">
        <v>24</v>
      </c>
      <c r="B28" s="10" t="s">
        <v>50</v>
      </c>
      <c r="C28" s="21" t="s">
        <v>54</v>
      </c>
      <c r="D28" s="22" t="s">
        <v>74</v>
      </c>
      <c r="E28" s="252" t="s">
        <v>112</v>
      </c>
      <c r="F28" s="253"/>
      <c r="G28" s="253"/>
      <c r="H28" s="254"/>
      <c r="I28" s="23"/>
      <c r="J28" s="24" t="s">
        <v>112</v>
      </c>
      <c r="K28" s="23"/>
      <c r="L28" s="23"/>
      <c r="M28" s="23"/>
    </row>
    <row r="29" spans="1:13" ht="15.95" customHeight="1" x14ac:dyDescent="0.25">
      <c r="A29" s="11">
        <v>25</v>
      </c>
      <c r="B29" s="10" t="s">
        <v>50</v>
      </c>
      <c r="C29" s="21" t="s">
        <v>55</v>
      </c>
      <c r="D29" s="22" t="s">
        <v>75</v>
      </c>
      <c r="E29" s="252" t="s">
        <v>112</v>
      </c>
      <c r="F29" s="253"/>
      <c r="G29" s="253"/>
      <c r="H29" s="254"/>
      <c r="I29" s="23"/>
      <c r="J29" s="24" t="s">
        <v>112</v>
      </c>
      <c r="K29" s="23"/>
      <c r="L29" s="23"/>
      <c r="M29" s="23"/>
    </row>
    <row r="30" spans="1:13" ht="15.95" customHeight="1" x14ac:dyDescent="0.25">
      <c r="A30" s="11">
        <v>26</v>
      </c>
      <c r="B30" s="10" t="s">
        <v>50</v>
      </c>
      <c r="C30" s="21" t="s">
        <v>56</v>
      </c>
      <c r="D30" s="22" t="s">
        <v>76</v>
      </c>
      <c r="E30" s="25">
        <v>0</v>
      </c>
      <c r="F30" s="25">
        <v>1.1111111111111112E-2</v>
      </c>
      <c r="G30" s="25">
        <v>0</v>
      </c>
      <c r="H30" s="25">
        <v>1.1111111111111112E-2</v>
      </c>
      <c r="I30" s="23"/>
      <c r="J30" s="29">
        <v>90</v>
      </c>
      <c r="K30" s="23"/>
      <c r="L30" s="23"/>
      <c r="M30" s="23"/>
    </row>
    <row r="31" spans="1:13" ht="15.95" customHeight="1" x14ac:dyDescent="0.25">
      <c r="A31" s="11">
        <v>27</v>
      </c>
      <c r="B31" s="10" t="s">
        <v>50</v>
      </c>
      <c r="C31" s="21" t="s">
        <v>57</v>
      </c>
      <c r="D31" s="22" t="s">
        <v>71</v>
      </c>
      <c r="E31" s="25">
        <v>0</v>
      </c>
      <c r="F31" s="25">
        <v>3.6585365853658534E-2</v>
      </c>
      <c r="G31" s="25">
        <v>0</v>
      </c>
      <c r="H31" s="25">
        <v>0</v>
      </c>
      <c r="I31" s="23"/>
      <c r="J31" s="29">
        <v>82</v>
      </c>
      <c r="K31" s="23"/>
      <c r="L31" s="23"/>
      <c r="M31" s="23"/>
    </row>
    <row r="32" spans="1:13" ht="15.95" customHeight="1" x14ac:dyDescent="0.25">
      <c r="A32" s="11">
        <v>28</v>
      </c>
      <c r="B32" s="10" t="s">
        <v>50</v>
      </c>
      <c r="C32" s="21" t="s">
        <v>58</v>
      </c>
      <c r="D32" s="22" t="s">
        <v>69</v>
      </c>
      <c r="E32" s="252" t="s">
        <v>112</v>
      </c>
      <c r="F32" s="253"/>
      <c r="G32" s="253"/>
      <c r="H32" s="254"/>
      <c r="I32" s="23"/>
      <c r="J32" s="24" t="s">
        <v>112</v>
      </c>
      <c r="K32" s="23"/>
      <c r="L32" s="23"/>
      <c r="M32" s="23"/>
    </row>
    <row r="33" spans="1:13" ht="15.95" customHeight="1" x14ac:dyDescent="0.25">
      <c r="A33" s="11">
        <v>29</v>
      </c>
      <c r="B33" s="10" t="s">
        <v>59</v>
      </c>
      <c r="C33" s="21" t="s">
        <v>15</v>
      </c>
      <c r="D33" s="22" t="s">
        <v>77</v>
      </c>
      <c r="E33" s="252" t="s">
        <v>112</v>
      </c>
      <c r="F33" s="253"/>
      <c r="G33" s="253"/>
      <c r="H33" s="254"/>
      <c r="I33" s="23"/>
      <c r="J33" s="24" t="s">
        <v>112</v>
      </c>
      <c r="K33" s="23"/>
      <c r="L33" s="23"/>
      <c r="M33" s="23"/>
    </row>
    <row r="34" spans="1:13" ht="15.95" customHeight="1" x14ac:dyDescent="0.25">
      <c r="A34" s="11">
        <v>30</v>
      </c>
      <c r="B34" s="10" t="s">
        <v>59</v>
      </c>
      <c r="C34" s="21" t="s">
        <v>60</v>
      </c>
      <c r="D34" s="22" t="s">
        <v>71</v>
      </c>
      <c r="E34" s="252" t="s">
        <v>112</v>
      </c>
      <c r="F34" s="253"/>
      <c r="G34" s="253"/>
      <c r="H34" s="254"/>
      <c r="I34" s="23"/>
      <c r="J34" s="24" t="s">
        <v>112</v>
      </c>
      <c r="K34" s="23"/>
      <c r="L34" s="23"/>
      <c r="M34" s="23"/>
    </row>
    <row r="35" spans="1:13" ht="15.95" customHeight="1" x14ac:dyDescent="0.25">
      <c r="A35" s="11">
        <v>31</v>
      </c>
      <c r="B35" s="10" t="s">
        <v>59</v>
      </c>
      <c r="C35" s="21" t="s">
        <v>61</v>
      </c>
      <c r="D35" s="22" t="s">
        <v>70</v>
      </c>
      <c r="E35" s="25">
        <v>0</v>
      </c>
      <c r="F35" s="25">
        <v>0.109375</v>
      </c>
      <c r="G35" s="25">
        <v>0</v>
      </c>
      <c r="H35" s="25">
        <v>0</v>
      </c>
      <c r="I35" s="23"/>
      <c r="J35" s="29">
        <v>64</v>
      </c>
      <c r="K35" s="23"/>
      <c r="L35" s="23"/>
      <c r="M35" s="23"/>
    </row>
    <row r="36" spans="1:13" ht="15.95" customHeight="1" x14ac:dyDescent="0.25">
      <c r="A36" s="11">
        <v>32</v>
      </c>
      <c r="B36" s="10" t="s">
        <v>59</v>
      </c>
      <c r="C36" s="21" t="s">
        <v>62</v>
      </c>
      <c r="D36" s="22" t="s">
        <v>68</v>
      </c>
      <c r="E36" s="25">
        <v>0</v>
      </c>
      <c r="F36" s="25">
        <v>2.6315789473684209E-2</v>
      </c>
      <c r="G36" s="25">
        <v>0</v>
      </c>
      <c r="H36" s="25">
        <v>3.9473684210526314E-2</v>
      </c>
      <c r="I36" s="23"/>
      <c r="J36" s="29">
        <v>76</v>
      </c>
      <c r="K36" s="23"/>
      <c r="L36" s="23"/>
      <c r="M36" s="23"/>
    </row>
    <row r="37" spans="1:13" ht="15.95" customHeight="1" x14ac:dyDescent="0.25">
      <c r="A37" s="11">
        <v>33</v>
      </c>
      <c r="B37" s="10" t="s">
        <v>59</v>
      </c>
      <c r="C37" s="21" t="s">
        <v>63</v>
      </c>
      <c r="D37" s="22" t="s">
        <v>70</v>
      </c>
      <c r="E37" s="252" t="s">
        <v>112</v>
      </c>
      <c r="F37" s="253"/>
      <c r="G37" s="253"/>
      <c r="H37" s="254"/>
      <c r="I37" s="23"/>
      <c r="J37" s="24" t="s">
        <v>112</v>
      </c>
      <c r="K37" s="23"/>
      <c r="L37" s="23"/>
      <c r="M37" s="23"/>
    </row>
    <row r="38" spans="1:13" ht="15.95" customHeight="1" x14ac:dyDescent="0.25">
      <c r="A38" s="11">
        <v>34</v>
      </c>
      <c r="B38" s="10" t="s">
        <v>59</v>
      </c>
      <c r="C38" s="21" t="s">
        <v>64</v>
      </c>
      <c r="D38" s="22" t="s">
        <v>68</v>
      </c>
      <c r="E38" s="252" t="s">
        <v>112</v>
      </c>
      <c r="F38" s="253"/>
      <c r="G38" s="253"/>
      <c r="H38" s="254"/>
      <c r="I38" s="23"/>
      <c r="J38" s="24" t="s">
        <v>112</v>
      </c>
      <c r="K38" s="23"/>
      <c r="L38" s="23"/>
      <c r="M38" s="23"/>
    </row>
    <row r="39" spans="1:13" ht="15.95" customHeight="1" x14ac:dyDescent="0.25">
      <c r="A39" s="11">
        <v>35</v>
      </c>
      <c r="B39" s="10" t="s">
        <v>59</v>
      </c>
      <c r="C39" s="21" t="s">
        <v>65</v>
      </c>
      <c r="D39" s="22" t="s">
        <v>78</v>
      </c>
      <c r="E39" s="252" t="s">
        <v>112</v>
      </c>
      <c r="F39" s="253"/>
      <c r="G39" s="253"/>
      <c r="H39" s="254"/>
      <c r="I39" s="23"/>
      <c r="J39" s="24" t="s">
        <v>112</v>
      </c>
      <c r="K39" s="23"/>
      <c r="L39" s="23"/>
      <c r="M39" s="23"/>
    </row>
    <row r="40" spans="1:13" x14ac:dyDescent="0.25">
      <c r="B40" s="31" t="s">
        <v>161</v>
      </c>
      <c r="C40" s="27"/>
    </row>
  </sheetData>
  <mergeCells count="39">
    <mergeCell ref="E38:H38"/>
    <mergeCell ref="E39:H39"/>
    <mergeCell ref="E32:H32"/>
    <mergeCell ref="E33:H33"/>
    <mergeCell ref="E34:H34"/>
    <mergeCell ref="E24:H24"/>
    <mergeCell ref="E27:H27"/>
    <mergeCell ref="E28:H28"/>
    <mergeCell ref="E29:H29"/>
    <mergeCell ref="E37:H37"/>
    <mergeCell ref="E18:H18"/>
    <mergeCell ref="E19:H19"/>
    <mergeCell ref="E20:H20"/>
    <mergeCell ref="E22:H22"/>
    <mergeCell ref="E23:H23"/>
    <mergeCell ref="E11:H11"/>
    <mergeCell ref="E13:H13"/>
    <mergeCell ref="E15:H15"/>
    <mergeCell ref="E16:H16"/>
    <mergeCell ref="E17:H17"/>
    <mergeCell ref="E5:H5"/>
    <mergeCell ref="E6:H6"/>
    <mergeCell ref="E7:H7"/>
    <mergeCell ref="E8:H8"/>
    <mergeCell ref="E10:H10"/>
    <mergeCell ref="A2:A4"/>
    <mergeCell ref="C2:C4"/>
    <mergeCell ref="B2:B4"/>
    <mergeCell ref="I3:I4"/>
    <mergeCell ref="J3:J4"/>
    <mergeCell ref="L3:L4"/>
    <mergeCell ref="M3:M4"/>
    <mergeCell ref="B1:M1"/>
    <mergeCell ref="E2:H2"/>
    <mergeCell ref="L2:M2"/>
    <mergeCell ref="E3:F3"/>
    <mergeCell ref="G3:H3"/>
    <mergeCell ref="D3:D4"/>
    <mergeCell ref="K3:K4"/>
  </mergeCells>
  <pageMargins left="0.7" right="0.7" top="0.75" bottom="0.75" header="0.3" footer="0.3"/>
  <ignoredErrors>
    <ignoredError sqref="D30:D32 D34:D38 D5:D9" twoDigitTextYear="1"/>
    <ignoredError sqref="J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activeCell="D27" sqref="D27"/>
    </sheetView>
  </sheetViews>
  <sheetFormatPr baseColWidth="10" defaultRowHeight="15" x14ac:dyDescent="0.25"/>
  <cols>
    <col min="1" max="1" width="4.42578125" customWidth="1"/>
    <col min="2" max="2" width="45.28515625" bestFit="1" customWidth="1"/>
    <col min="3" max="3" width="21.7109375" customWidth="1"/>
    <col min="4" max="4" width="16.140625" customWidth="1"/>
    <col min="5" max="7" width="17.7109375" customWidth="1"/>
    <col min="8" max="9" width="16.28515625" customWidth="1"/>
  </cols>
  <sheetData>
    <row r="1" spans="1:15" ht="15.75" x14ac:dyDescent="0.25">
      <c r="A1" s="255" t="s">
        <v>108</v>
      </c>
      <c r="B1" s="255"/>
      <c r="C1" s="255"/>
      <c r="D1" s="255"/>
      <c r="E1" s="255"/>
      <c r="F1" s="255"/>
      <c r="G1" s="255"/>
      <c r="H1" s="255"/>
      <c r="I1" s="255"/>
    </row>
    <row r="2" spans="1:15" ht="33" customHeight="1" x14ac:dyDescent="0.25">
      <c r="A2" s="258" t="s">
        <v>82</v>
      </c>
      <c r="B2" s="258" t="s">
        <v>0</v>
      </c>
      <c r="C2" s="258" t="s">
        <v>79</v>
      </c>
      <c r="D2" s="260" t="s">
        <v>163</v>
      </c>
      <c r="E2" s="261"/>
      <c r="F2" s="261"/>
      <c r="G2" s="262"/>
      <c r="H2" s="257" t="s">
        <v>80</v>
      </c>
      <c r="I2" s="257"/>
    </row>
    <row r="3" spans="1:15" ht="54.75" customHeight="1" x14ac:dyDescent="0.25">
      <c r="A3" s="259"/>
      <c r="B3" s="259"/>
      <c r="C3" s="259"/>
      <c r="D3" s="15" t="s">
        <v>170</v>
      </c>
      <c r="E3" s="2" t="s">
        <v>164</v>
      </c>
      <c r="F3" s="2" t="s">
        <v>165</v>
      </c>
      <c r="G3" s="14" t="s">
        <v>162</v>
      </c>
      <c r="H3" s="2" t="s">
        <v>9</v>
      </c>
      <c r="I3" s="2" t="s">
        <v>166</v>
      </c>
    </row>
    <row r="4" spans="1:15" x14ac:dyDescent="0.25">
      <c r="A4" s="3">
        <v>1</v>
      </c>
      <c r="B4" s="4" t="s">
        <v>84</v>
      </c>
      <c r="C4" s="3" t="s">
        <v>151</v>
      </c>
      <c r="D4" s="3">
        <v>12</v>
      </c>
      <c r="E4" s="33">
        <v>0</v>
      </c>
      <c r="F4" s="33">
        <v>8.3333333333333329E-2</v>
      </c>
      <c r="G4" s="36" t="s">
        <v>167</v>
      </c>
      <c r="H4" s="5"/>
      <c r="I4" s="5"/>
      <c r="K4" s="32"/>
      <c r="L4" s="32"/>
      <c r="M4" s="32"/>
      <c r="N4" s="32"/>
      <c r="O4" s="32"/>
    </row>
    <row r="5" spans="1:15" x14ac:dyDescent="0.25">
      <c r="A5" s="3">
        <v>2</v>
      </c>
      <c r="B5" s="4" t="s">
        <v>85</v>
      </c>
      <c r="C5" s="3" t="s">
        <v>151</v>
      </c>
      <c r="D5" s="3">
        <v>12</v>
      </c>
      <c r="E5" s="34">
        <v>0</v>
      </c>
      <c r="F5" s="34">
        <v>0.33333333333333331</v>
      </c>
      <c r="G5" s="37" t="s">
        <v>167</v>
      </c>
      <c r="H5" s="5"/>
      <c r="I5" s="5"/>
      <c r="K5" s="32"/>
      <c r="L5" s="32"/>
      <c r="N5" s="32"/>
      <c r="O5" s="32"/>
    </row>
    <row r="6" spans="1:15" x14ac:dyDescent="0.25">
      <c r="A6" s="3">
        <v>4</v>
      </c>
      <c r="B6" s="4" t="s">
        <v>86</v>
      </c>
      <c r="C6" s="3" t="s">
        <v>151</v>
      </c>
      <c r="D6" s="3">
        <v>12</v>
      </c>
      <c r="E6" s="34">
        <v>0</v>
      </c>
      <c r="F6" s="34">
        <v>0</v>
      </c>
      <c r="G6" s="37" t="s">
        <v>167</v>
      </c>
      <c r="H6" s="5"/>
      <c r="I6" s="5"/>
      <c r="K6" s="32"/>
      <c r="L6" s="32"/>
      <c r="N6" s="32"/>
      <c r="O6" s="32"/>
    </row>
    <row r="7" spans="1:15" x14ac:dyDescent="0.25">
      <c r="A7" s="3">
        <v>5</v>
      </c>
      <c r="B7" s="4" t="s">
        <v>87</v>
      </c>
      <c r="C7" s="3" t="s">
        <v>151</v>
      </c>
      <c r="D7" s="3">
        <v>12</v>
      </c>
      <c r="E7" s="34">
        <v>0</v>
      </c>
      <c r="F7" s="34">
        <v>0.16666666666666666</v>
      </c>
      <c r="G7" s="38" t="s">
        <v>168</v>
      </c>
      <c r="H7" s="5"/>
      <c r="I7" s="5"/>
      <c r="K7" s="32"/>
      <c r="L7" s="32"/>
      <c r="N7" s="32"/>
      <c r="O7" s="32"/>
    </row>
    <row r="8" spans="1:15" x14ac:dyDescent="0.25">
      <c r="A8" s="3">
        <v>9</v>
      </c>
      <c r="B8" s="4" t="s">
        <v>88</v>
      </c>
      <c r="C8" s="3" t="s">
        <v>151</v>
      </c>
      <c r="D8" s="3">
        <v>6</v>
      </c>
      <c r="E8" s="34">
        <v>0</v>
      </c>
      <c r="F8" s="34">
        <v>0</v>
      </c>
      <c r="G8" s="38" t="s">
        <v>167</v>
      </c>
      <c r="H8" s="5"/>
      <c r="I8" s="5"/>
      <c r="K8" s="32"/>
      <c r="L8" s="32"/>
      <c r="N8" s="32"/>
      <c r="O8" s="32"/>
    </row>
    <row r="9" spans="1:15" x14ac:dyDescent="0.25">
      <c r="A9" s="3">
        <v>10</v>
      </c>
      <c r="B9" s="4" t="s">
        <v>89</v>
      </c>
      <c r="C9" s="3" t="s">
        <v>151</v>
      </c>
      <c r="D9" s="3">
        <v>5</v>
      </c>
      <c r="E9" s="34">
        <v>0</v>
      </c>
      <c r="F9" s="34">
        <v>0</v>
      </c>
      <c r="G9" s="38" t="s">
        <v>167</v>
      </c>
      <c r="H9" s="5"/>
      <c r="I9" s="5"/>
      <c r="K9" s="32"/>
      <c r="L9" s="32"/>
      <c r="N9" s="32"/>
      <c r="O9" s="32"/>
    </row>
    <row r="10" spans="1:15" x14ac:dyDescent="0.25">
      <c r="A10" s="3">
        <v>11</v>
      </c>
      <c r="B10" s="4" t="s">
        <v>90</v>
      </c>
      <c r="C10" s="3" t="s">
        <v>151</v>
      </c>
      <c r="D10" s="3">
        <v>7</v>
      </c>
      <c r="E10" s="34">
        <v>0</v>
      </c>
      <c r="F10" s="34">
        <v>0</v>
      </c>
      <c r="G10" s="38" t="s">
        <v>168</v>
      </c>
      <c r="H10" s="5"/>
      <c r="I10" s="5"/>
      <c r="K10" s="32"/>
      <c r="L10" s="32"/>
      <c r="N10" s="32"/>
      <c r="O10" s="32"/>
    </row>
    <row r="11" spans="1:15" x14ac:dyDescent="0.25">
      <c r="A11" s="3">
        <v>12</v>
      </c>
      <c r="B11" s="4" t="s">
        <v>91</v>
      </c>
      <c r="C11" s="3" t="s">
        <v>152</v>
      </c>
      <c r="D11" s="3">
        <v>9</v>
      </c>
      <c r="E11" s="34">
        <v>0</v>
      </c>
      <c r="F11" s="34">
        <v>0</v>
      </c>
      <c r="G11" s="38" t="s">
        <v>167</v>
      </c>
      <c r="H11" s="5"/>
      <c r="I11" s="5"/>
      <c r="K11" s="32"/>
      <c r="L11" s="32"/>
      <c r="N11" s="32"/>
      <c r="O11" s="32"/>
    </row>
    <row r="12" spans="1:15" x14ac:dyDescent="0.25">
      <c r="A12" s="3">
        <v>13</v>
      </c>
      <c r="B12" s="4" t="s">
        <v>92</v>
      </c>
      <c r="C12" s="3" t="s">
        <v>152</v>
      </c>
      <c r="D12" s="3">
        <v>9</v>
      </c>
      <c r="E12" s="34">
        <v>0</v>
      </c>
      <c r="F12" s="34">
        <v>0</v>
      </c>
      <c r="G12" s="38" t="s">
        <v>168</v>
      </c>
      <c r="H12" s="5"/>
      <c r="I12" s="5"/>
      <c r="K12" s="32"/>
      <c r="L12" s="32"/>
      <c r="N12" s="32"/>
      <c r="O12" s="32"/>
    </row>
    <row r="13" spans="1:15" x14ac:dyDescent="0.25">
      <c r="A13" s="3">
        <v>15</v>
      </c>
      <c r="B13" s="4" t="s">
        <v>93</v>
      </c>
      <c r="C13" s="3" t="s">
        <v>152</v>
      </c>
      <c r="D13" s="3">
        <v>9</v>
      </c>
      <c r="E13" s="34">
        <v>0</v>
      </c>
      <c r="F13" s="34">
        <v>0</v>
      </c>
      <c r="G13" s="38" t="s">
        <v>167</v>
      </c>
      <c r="H13" s="5"/>
      <c r="I13" s="5"/>
      <c r="K13" s="32"/>
      <c r="L13" s="32"/>
      <c r="N13" s="32"/>
      <c r="O13" s="32"/>
    </row>
    <row r="14" spans="1:15" x14ac:dyDescent="0.25">
      <c r="A14" s="3">
        <v>16</v>
      </c>
      <c r="B14" s="4" t="s">
        <v>94</v>
      </c>
      <c r="C14" s="3" t="s">
        <v>152</v>
      </c>
      <c r="D14" s="3">
        <v>9</v>
      </c>
      <c r="E14" s="34">
        <v>0</v>
      </c>
      <c r="F14" s="34">
        <v>0</v>
      </c>
      <c r="G14" s="38" t="s">
        <v>167</v>
      </c>
      <c r="H14" s="5"/>
      <c r="I14" s="5"/>
      <c r="K14" s="32"/>
      <c r="L14" s="32"/>
      <c r="N14" s="32"/>
      <c r="O14" s="32"/>
    </row>
    <row r="15" spans="1:15" x14ac:dyDescent="0.25">
      <c r="A15" s="3">
        <v>20</v>
      </c>
      <c r="B15" s="4" t="s">
        <v>95</v>
      </c>
      <c r="C15" s="3" t="s">
        <v>152</v>
      </c>
      <c r="D15" s="3">
        <v>9</v>
      </c>
      <c r="E15" s="34">
        <v>0.1111111111111111</v>
      </c>
      <c r="F15" s="34">
        <v>0.1111111111111111</v>
      </c>
      <c r="G15" s="38" t="s">
        <v>169</v>
      </c>
      <c r="H15" s="5"/>
      <c r="I15" s="5"/>
      <c r="K15" s="32"/>
      <c r="L15" s="32"/>
      <c r="N15" s="32"/>
      <c r="O15" s="32"/>
    </row>
    <row r="16" spans="1:15" x14ac:dyDescent="0.25">
      <c r="A16" s="3">
        <v>21</v>
      </c>
      <c r="B16" s="4" t="s">
        <v>96</v>
      </c>
      <c r="C16" s="3" t="s">
        <v>152</v>
      </c>
      <c r="D16" s="3">
        <v>9</v>
      </c>
      <c r="E16" s="34">
        <v>0.1111111111111111</v>
      </c>
      <c r="F16" s="34">
        <v>0</v>
      </c>
      <c r="G16" s="38" t="s">
        <v>168</v>
      </c>
      <c r="H16" s="5"/>
      <c r="I16" s="5"/>
      <c r="K16" s="32"/>
      <c r="L16" s="32"/>
      <c r="N16" s="32"/>
      <c r="O16" s="32"/>
    </row>
    <row r="17" spans="1:15" s="30" customFormat="1" x14ac:dyDescent="0.25">
      <c r="A17" s="3">
        <v>22</v>
      </c>
      <c r="B17" s="4" t="s">
        <v>97</v>
      </c>
      <c r="C17" s="3" t="s">
        <v>152</v>
      </c>
      <c r="D17" s="3">
        <v>9</v>
      </c>
      <c r="E17" s="34">
        <v>0</v>
      </c>
      <c r="F17" s="34">
        <v>0</v>
      </c>
      <c r="G17" s="38" t="s">
        <v>168</v>
      </c>
      <c r="H17" s="5"/>
      <c r="I17" s="5"/>
      <c r="K17" s="32"/>
      <c r="L17" s="32"/>
      <c r="N17" s="32"/>
      <c r="O17" s="32"/>
    </row>
    <row r="18" spans="1:15" x14ac:dyDescent="0.25">
      <c r="A18" s="3">
        <v>23</v>
      </c>
      <c r="B18" s="6" t="s">
        <v>98</v>
      </c>
      <c r="C18" s="3" t="s">
        <v>152</v>
      </c>
      <c r="D18" s="3">
        <v>8</v>
      </c>
      <c r="E18" s="34">
        <v>0.125</v>
      </c>
      <c r="F18" s="34">
        <v>0.25</v>
      </c>
      <c r="G18" s="38" t="s">
        <v>168</v>
      </c>
      <c r="H18" s="5"/>
      <c r="I18" s="5"/>
      <c r="K18" s="32"/>
      <c r="L18" s="32"/>
      <c r="N18" s="32"/>
      <c r="O18" s="32"/>
    </row>
    <row r="19" spans="1:15" x14ac:dyDescent="0.25">
      <c r="A19" s="3">
        <v>24</v>
      </c>
      <c r="B19" s="6" t="s">
        <v>101</v>
      </c>
      <c r="C19" s="3" t="s">
        <v>152</v>
      </c>
      <c r="D19" s="3">
        <v>9</v>
      </c>
      <c r="E19" s="34">
        <v>0</v>
      </c>
      <c r="F19" s="34">
        <v>0</v>
      </c>
      <c r="G19" s="38" t="s">
        <v>169</v>
      </c>
      <c r="H19" s="5"/>
      <c r="I19" s="5"/>
      <c r="K19" s="32"/>
      <c r="L19" s="32"/>
      <c r="N19" s="32"/>
      <c r="O19" s="32"/>
    </row>
    <row r="20" spans="1:15" x14ac:dyDescent="0.25">
      <c r="A20" s="3">
        <v>26</v>
      </c>
      <c r="B20" s="6" t="s">
        <v>102</v>
      </c>
      <c r="C20" s="3" t="s">
        <v>152</v>
      </c>
      <c r="D20" s="3">
        <v>8</v>
      </c>
      <c r="E20" s="34">
        <v>0</v>
      </c>
      <c r="F20" s="34">
        <v>0</v>
      </c>
      <c r="G20" s="38" t="s">
        <v>167</v>
      </c>
      <c r="H20" s="5"/>
      <c r="I20" s="5"/>
      <c r="K20" s="32"/>
      <c r="L20" s="32"/>
      <c r="N20" s="32"/>
      <c r="O20" s="32"/>
    </row>
    <row r="21" spans="1:15" x14ac:dyDescent="0.25">
      <c r="A21" s="3">
        <v>27</v>
      </c>
      <c r="B21" s="6" t="s">
        <v>99</v>
      </c>
      <c r="C21" s="3" t="s">
        <v>153</v>
      </c>
      <c r="D21" s="3">
        <v>6</v>
      </c>
      <c r="E21" s="34">
        <v>0</v>
      </c>
      <c r="F21" s="34">
        <v>0</v>
      </c>
      <c r="G21" s="38" t="s">
        <v>167</v>
      </c>
      <c r="H21" s="5"/>
      <c r="I21" s="5"/>
      <c r="K21" s="32"/>
      <c r="L21" s="32"/>
      <c r="N21" s="32"/>
      <c r="O21" s="32"/>
    </row>
    <row r="22" spans="1:15" x14ac:dyDescent="0.25">
      <c r="A22" s="3">
        <v>29</v>
      </c>
      <c r="B22" s="6" t="s">
        <v>100</v>
      </c>
      <c r="C22" s="3" t="s">
        <v>153</v>
      </c>
      <c r="D22" s="3">
        <v>8</v>
      </c>
      <c r="E22" s="34">
        <v>0</v>
      </c>
      <c r="F22" s="34">
        <v>0</v>
      </c>
      <c r="G22" s="38" t="s">
        <v>167</v>
      </c>
      <c r="H22" s="5"/>
      <c r="I22" s="5"/>
      <c r="K22" s="32"/>
      <c r="L22" s="32"/>
      <c r="N22" s="32"/>
      <c r="O22" s="32"/>
    </row>
    <row r="23" spans="1:15" x14ac:dyDescent="0.25">
      <c r="A23" s="3">
        <v>30</v>
      </c>
      <c r="B23" s="6" t="s">
        <v>103</v>
      </c>
      <c r="C23" s="3" t="s">
        <v>155</v>
      </c>
      <c r="D23" s="3">
        <v>15</v>
      </c>
      <c r="E23" s="34">
        <v>0</v>
      </c>
      <c r="F23" s="34">
        <v>0</v>
      </c>
      <c r="G23" s="38" t="s">
        <v>169</v>
      </c>
      <c r="H23" s="5"/>
      <c r="I23" s="5"/>
      <c r="K23" s="32"/>
      <c r="L23" s="32"/>
      <c r="N23" s="32"/>
      <c r="O23" s="32"/>
    </row>
    <row r="24" spans="1:15" x14ac:dyDescent="0.25">
      <c r="A24" s="3">
        <v>31</v>
      </c>
      <c r="B24" s="6" t="s">
        <v>106</v>
      </c>
      <c r="C24" s="3" t="s">
        <v>155</v>
      </c>
      <c r="D24" s="3">
        <v>13</v>
      </c>
      <c r="E24" s="34">
        <v>0</v>
      </c>
      <c r="F24" s="34">
        <v>0</v>
      </c>
      <c r="G24" s="38" t="s">
        <v>167</v>
      </c>
      <c r="H24" s="5"/>
      <c r="I24" s="5"/>
      <c r="K24" s="32"/>
      <c r="L24" s="32"/>
      <c r="N24" s="32"/>
      <c r="O24" s="32"/>
    </row>
    <row r="25" spans="1:15" x14ac:dyDescent="0.25">
      <c r="A25" s="3">
        <v>33</v>
      </c>
      <c r="B25" s="6" t="s">
        <v>107</v>
      </c>
      <c r="C25" s="3" t="s">
        <v>155</v>
      </c>
      <c r="D25" s="3">
        <v>10</v>
      </c>
      <c r="E25" s="34">
        <v>0</v>
      </c>
      <c r="F25" s="34">
        <v>0.1</v>
      </c>
      <c r="G25" s="38" t="s">
        <v>168</v>
      </c>
      <c r="H25" s="5"/>
      <c r="I25" s="5"/>
      <c r="K25" s="32"/>
      <c r="L25" s="32"/>
      <c r="N25" s="32"/>
      <c r="O25" s="32"/>
    </row>
    <row r="26" spans="1:15" x14ac:dyDescent="0.25">
      <c r="A26" s="3">
        <v>34</v>
      </c>
      <c r="B26" s="6" t="s">
        <v>104</v>
      </c>
      <c r="C26" s="3" t="s">
        <v>154</v>
      </c>
      <c r="D26" s="3">
        <v>10</v>
      </c>
      <c r="E26" s="34">
        <v>0</v>
      </c>
      <c r="F26" s="34">
        <v>0</v>
      </c>
      <c r="G26" s="38" t="s">
        <v>167</v>
      </c>
      <c r="H26" s="5"/>
      <c r="I26" s="5"/>
      <c r="K26" s="32"/>
      <c r="L26" s="32"/>
      <c r="N26" s="32"/>
      <c r="O26" s="32"/>
    </row>
    <row r="27" spans="1:15" x14ac:dyDescent="0.25">
      <c r="A27" s="3">
        <v>36</v>
      </c>
      <c r="B27" s="6" t="s">
        <v>105</v>
      </c>
      <c r="C27" s="3" t="s">
        <v>154</v>
      </c>
      <c r="D27" s="3">
        <v>8</v>
      </c>
      <c r="E27" s="34">
        <v>0</v>
      </c>
      <c r="F27" s="34">
        <v>0</v>
      </c>
      <c r="G27" s="38" t="s">
        <v>167</v>
      </c>
      <c r="H27" s="5"/>
      <c r="I27" s="5"/>
      <c r="K27" s="32"/>
      <c r="L27" s="32"/>
      <c r="N27" s="32"/>
      <c r="O27" s="32"/>
    </row>
    <row r="28" spans="1:15" x14ac:dyDescent="0.25">
      <c r="A28" s="256" t="s">
        <v>81</v>
      </c>
      <c r="B28" s="256"/>
      <c r="C28" s="256"/>
      <c r="D28" s="256"/>
      <c r="E28" s="256"/>
      <c r="F28" s="7"/>
      <c r="G28" s="7"/>
      <c r="H28" s="7"/>
      <c r="I28" s="7"/>
    </row>
    <row r="29" spans="1:15" x14ac:dyDescent="0.25">
      <c r="A29" s="256"/>
      <c r="B29" s="256"/>
      <c r="C29" s="256"/>
      <c r="D29" s="256"/>
      <c r="E29" s="256"/>
      <c r="F29" s="7"/>
      <c r="G29" s="7"/>
      <c r="H29" s="7"/>
      <c r="I29" s="7"/>
    </row>
  </sheetData>
  <mergeCells count="7">
    <mergeCell ref="A1:I1"/>
    <mergeCell ref="A28:E29"/>
    <mergeCell ref="H2:I2"/>
    <mergeCell ref="A2:A3"/>
    <mergeCell ref="B2:B3"/>
    <mergeCell ref="C2:C3"/>
    <mergeCell ref="D2:G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Promoción_EB </vt:lpstr>
      <vt:lpstr>EB_DES_ATP</vt:lpstr>
      <vt:lpstr>Ingreso_EMS</vt:lpstr>
      <vt:lpstr>Habs.Docentes</vt:lpstr>
      <vt:lpstr>Habs.Docentes (2)</vt:lpstr>
      <vt:lpstr>Plan de clase</vt:lpstr>
      <vt:lpstr>Plan de clase (2)</vt:lpstr>
      <vt:lpstr>Promoción_EMS</vt:lpstr>
      <vt:lpstr>Desempeño_EMS</vt:lpstr>
      <vt:lpstr>Desempeño M1</vt:lpstr>
      <vt:lpstr>RUB_DESM1</vt:lpstr>
      <vt:lpstr>'Promoción_EB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Melissa Avelar Ramos</dc:creator>
  <cp:lastModifiedBy>Dafne Melissa Avelar Ramos</cp:lastModifiedBy>
  <cp:lastPrinted>2017-09-28T22:16:56Z</cp:lastPrinted>
  <dcterms:created xsi:type="dcterms:W3CDTF">2017-08-10T21:48:42Z</dcterms:created>
  <dcterms:modified xsi:type="dcterms:W3CDTF">2017-10-02T15:51:55Z</dcterms:modified>
</cp:coreProperties>
</file>