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chavez\Desktop\Adrifelcha_Work\1-AdaptacionEtapa1\"/>
    </mc:Choice>
  </mc:AlternateContent>
  <bookViews>
    <workbookView xWindow="0" yWindow="0" windowWidth="23040" windowHeight="9195"/>
  </bookViews>
  <sheets>
    <sheet name="Etapa_1" sheetId="1" r:id="rId1"/>
  </sheets>
  <definedNames>
    <definedName name="_xlnm._FilterDatabase" localSheetId="0" hidden="1">Etapa_1!$A$3:$M$25</definedName>
    <definedName name="AugSun1">DATEVALUE("1/8/"&amp;TheYear)-WEEKDAY(DATEVALUE("1/8/"&amp;TheYear),2)+1</definedName>
    <definedName name="JulSun1">DATEVALUE("1/7/"&amp;TheYear)-WEEKDAY(DATEVALUE("1/7/"&amp;TheYear),2)+1</definedName>
    <definedName name="JunSun1">DATEVALUE("1/6/"&amp;TheYear)-WEEKDAY(DATEVALUE("1/6/"&amp;TheYear),2)+1</definedName>
    <definedName name="SepSun1">DATEVALUE("1/9/"&amp;TheYear)-WEEKDAY(DATEVALUE("1/9/"&amp;TheYear),2)+1</definedName>
    <definedName name="TheYear">Etapa_1!$B$2</definedName>
    <definedName name="_xlnm.Print_Titles" localSheetId="0">Etapa_1!$1:$3</definedName>
    <definedName name="Z_0DD911EC_4E99_4FC3_AE4B_D1AD89D581C2_.wvu.FilterData" localSheetId="0" hidden="1">Etapa_1!$3:$3</definedName>
    <definedName name="Z_0DD911EC_4E99_4FC3_AE4B_D1AD89D581C2_.wvu.PrintArea" localSheetId="0" hidden="1">Etapa_1!$3:$3</definedName>
    <definedName name="Z_1E46995C_0AFC_43D3_BBF8_94C30EBFF000_.wvu.FilterData" localSheetId="0" hidden="1">Etapa_1!$A$3:$HW$3</definedName>
    <definedName name="Z_1E46995C_0AFC_43D3_BBF8_94C30EBFF000_.wvu.PrintArea" localSheetId="0" hidden="1">Etapa_1!$A$3:$M$3</definedName>
    <definedName name="Z_1E46995C_0AFC_43D3_BBF8_94C30EBFF000_.wvu.Rows" localSheetId="0" hidden="1">Etapa_1!#REF!</definedName>
    <definedName name="Z_1F0FCBDF_0D72_4EFF_A194_F94632E061A7_.wvu.FilterData" localSheetId="0" hidden="1">Etapa_1!$3:$3</definedName>
    <definedName name="Z_1F0FCBDF_0D72_4EFF_A194_F94632E061A7_.wvu.PrintArea" localSheetId="0" hidden="1">Etapa_1!$3:$3</definedName>
    <definedName name="Z_29292BEC_8399_4644_B054_C294AE0239D3_.wvu.FilterData" localSheetId="0" hidden="1">Etapa_1!$A$3:$HW$3</definedName>
    <definedName name="Z_29292BEC_8399_4644_B054_C294AE0239D3_.wvu.PrintArea" localSheetId="0" hidden="1">Etapa_1!$A$3:$M$3</definedName>
    <definedName name="Z_29292BEC_8399_4644_B054_C294AE0239D3_.wvu.Rows" localSheetId="0" hidden="1">Etapa_1!#REF!</definedName>
    <definedName name="Z_3CA5F47B_CC20_430D_AB30_3DBEA2EC43FF_.wvu.FilterData" localSheetId="0" hidden="1">Etapa_1!$A$3:$HW$3</definedName>
    <definedName name="Z_3CA5F47B_CC20_430D_AB30_3DBEA2EC43FF_.wvu.PrintArea" localSheetId="0" hidden="1">Etapa_1!$A$3:$M$3</definedName>
    <definedName name="Z_3CA5F47B_CC20_430D_AB30_3DBEA2EC43FF_.wvu.Rows" localSheetId="0" hidden="1">Etapa_1!#REF!</definedName>
    <definedName name="Z_5378CC59_5406_4AF3_8CD4_4C49841048FE_.wvu.FilterData" localSheetId="0" hidden="1">Etapa_1!$3:$3</definedName>
    <definedName name="Z_5378CC59_5406_4AF3_8CD4_4C49841048FE_.wvu.PrintArea" localSheetId="0" hidden="1">Etapa_1!$3:$3</definedName>
    <definedName name="Z_B399F971_962A_473A_9F82_AEF224946F5E_.wvu.FilterData" localSheetId="0" hidden="1">Etapa_1!$3:$3</definedName>
    <definedName name="Z_B399F971_962A_473A_9F82_AEF224946F5E_.wvu.PrintArea" localSheetId="0" hidden="1">Etapa_1!$3:$3</definedName>
    <definedName name="Z_FD470B25_D651_4F7C_B5D5_995EC26AE544_.wvu.FilterData" localSheetId="0" hidden="1">Etapa_1!$A$3:$HW$3</definedName>
    <definedName name="Z_FD470B25_D651_4F7C_B5D5_995EC26AE544_.wvu.PrintArea" localSheetId="0" hidden="1">Etapa_1!$A$3:$M$3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AA13" i="1"/>
  <c r="Z13" i="1"/>
  <c r="Y13" i="1"/>
  <c r="X13" i="1"/>
  <c r="W13" i="1"/>
  <c r="AC10" i="1" l="1"/>
  <c r="AB10" i="1"/>
  <c r="X6" i="1"/>
  <c r="W6" i="1"/>
  <c r="U18" i="1"/>
  <c r="T18" i="1"/>
  <c r="S18" i="1"/>
  <c r="R18" i="1"/>
  <c r="Q18" i="1"/>
  <c r="T13" i="1"/>
  <c r="S13" i="1"/>
  <c r="R13" i="1"/>
  <c r="Q13" i="1"/>
  <c r="P13" i="1"/>
  <c r="O13" i="1"/>
  <c r="O6" i="1"/>
  <c r="P6" i="1"/>
  <c r="Q6" i="1"/>
  <c r="R6" i="1"/>
  <c r="U10" i="1"/>
  <c r="L7" i="1" l="1"/>
  <c r="L8" i="1"/>
  <c r="L10" i="1"/>
  <c r="L11" i="1"/>
  <c r="L12" i="1"/>
  <c r="L13" i="1"/>
  <c r="L14" i="1"/>
  <c r="L15" i="1"/>
  <c r="L17" i="1"/>
  <c r="L18" i="1"/>
  <c r="L19" i="1"/>
  <c r="L22" i="1"/>
  <c r="L23" i="1"/>
  <c r="L4" i="1" l="1"/>
  <c r="L5" i="1"/>
  <c r="L6" i="1"/>
</calcChain>
</file>

<file path=xl/sharedStrings.xml><?xml version="1.0" encoding="utf-8"?>
<sst xmlns="http://schemas.openxmlformats.org/spreadsheetml/2006/main" count="122" uniqueCount="74">
  <si>
    <t>#</t>
  </si>
  <si>
    <t>Actividad</t>
  </si>
  <si>
    <t>Fecha</t>
  </si>
  <si>
    <t>Observaciones</t>
  </si>
  <si>
    <t>Nancy</t>
  </si>
  <si>
    <t>Olivia</t>
  </si>
  <si>
    <t>Proceso de evaluación</t>
  </si>
  <si>
    <t>Aprobación de instrumentos</t>
  </si>
  <si>
    <t>Junio</t>
  </si>
  <si>
    <t>Aldo</t>
  </si>
  <si>
    <t>Desempeño, 4to grupo</t>
  </si>
  <si>
    <t>Institución Responsable</t>
  </si>
  <si>
    <t>INEE</t>
  </si>
  <si>
    <t>Básica</t>
  </si>
  <si>
    <t>EMS</t>
  </si>
  <si>
    <t>Coordinación</t>
  </si>
  <si>
    <t>Adriana</t>
  </si>
  <si>
    <t>Susana</t>
  </si>
  <si>
    <t>Marina</t>
  </si>
  <si>
    <t>Revisión del Instrumento (versión aprobada)</t>
  </si>
  <si>
    <t>Revisión de la estructura (versión aprobada)</t>
  </si>
  <si>
    <t>Análisis de los resultados del Comité de revisión del modelo de evaluación del desempeño de docentes en escuelas indígenas, multigrado y telesecundarias</t>
  </si>
  <si>
    <t>Revisión de los marcos curriculares de educación telesecundaria y educación indígena</t>
  </si>
  <si>
    <t>Personal interno DGEDD</t>
  </si>
  <si>
    <t>Integración de observaciones y aspectos a considerar para realizar los ajustes a los instrumentos</t>
  </si>
  <si>
    <t>INEE-CNSPD</t>
  </si>
  <si>
    <t>Plan de actividades para ajustar la Etapa 1. Informe de Responsbalidades Profesionales, Evaluación del Desempeño
Tipos de servicio: Educación indígena, multigrado y telesecundaria</t>
  </si>
  <si>
    <t>Elaboración de la primer propuesta de ajuste a los instrumentos</t>
  </si>
  <si>
    <t>Preparación de materiales para la sesión de trabajo con la CNSPD</t>
  </si>
  <si>
    <t>27 de Agosto</t>
  </si>
  <si>
    <t>Análisis de los resultados psicométricos de la aplicación del instrumento en el ciclo anterior (Diferenciales)</t>
  </si>
  <si>
    <t>Preparación de evidencias documentales de los ajustes realizados a los instrumentos</t>
  </si>
  <si>
    <t>Envío de evidencias documentales de los ajustes a los instrumentos</t>
  </si>
  <si>
    <t>Revisión de evidencias documentales del ajuste a los instrumentos</t>
  </si>
  <si>
    <t>CNSPD</t>
  </si>
  <si>
    <t>6 al 13 de Junio</t>
  </si>
  <si>
    <t>12 al 20 de Julio</t>
  </si>
  <si>
    <t>23 al 27 de Julio</t>
  </si>
  <si>
    <t>30 de Julio al 03 de agosto</t>
  </si>
  <si>
    <t>06 de Agosto</t>
  </si>
  <si>
    <t>07 al 10 de Agosto</t>
  </si>
  <si>
    <t>13 al 17 de Agosto</t>
  </si>
  <si>
    <t>20 y 21 de Junio</t>
  </si>
  <si>
    <t>03 y 04 de Julio</t>
  </si>
  <si>
    <t>11 y 12 de Julio</t>
  </si>
  <si>
    <t>05 al 10 de Julio</t>
  </si>
  <si>
    <t>Lu</t>
  </si>
  <si>
    <t>Ma</t>
  </si>
  <si>
    <t>Mi</t>
  </si>
  <si>
    <t>Ju</t>
  </si>
  <si>
    <t>Vi</t>
  </si>
  <si>
    <t>Sá</t>
  </si>
  <si>
    <t>Do</t>
  </si>
  <si>
    <t>Julio</t>
  </si>
  <si>
    <t>Agosto</t>
  </si>
  <si>
    <t>22 al 27 de Junio</t>
  </si>
  <si>
    <t>28 al 29 de Junio</t>
  </si>
  <si>
    <t>Entrega de los resultados del análisis del instrumento del ciclo anterior con población indígena, multigrado y telesecundaria</t>
  </si>
  <si>
    <t>13 de juno</t>
  </si>
  <si>
    <t xml:space="preserve">Sesión de validación  con especialistas </t>
  </si>
  <si>
    <t>3 de septiembre</t>
  </si>
  <si>
    <t xml:space="preserve">Recopilación de información </t>
  </si>
  <si>
    <t>13 de septiembre al 20 de octubre</t>
  </si>
  <si>
    <t>10 de septiembre</t>
  </si>
  <si>
    <t>Análisis comparativo de los PPI de Desempeño 2018-2019
- Preescolar-Primaria General/Indígena
- Secundaria/Telesecundaria</t>
  </si>
  <si>
    <t>Sesión de trabajo para la elaboración de la propuesta final de ajuste a los instrumentos</t>
  </si>
  <si>
    <t>Preparación de materiales para la sesión de validación de los instrumentos con especialistas</t>
  </si>
  <si>
    <t>Convocatoria de especialistas para sesión de validación de los instrumentos</t>
  </si>
  <si>
    <t>Integración del informe de la sesión de validación con especialistas</t>
  </si>
  <si>
    <t>Ajustes finales a los instrumentos</t>
  </si>
  <si>
    <t>Avances en la elaboración del Informe técnico y anexos</t>
  </si>
  <si>
    <t>Entrega de instrumentos finales</t>
  </si>
  <si>
    <t>Revisión de instrumentos en plataforma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</si>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</sst>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color theme="0"/>
      <name val="Arial"/>
      <family val="2"/>
    </font>
    <font>
      <sz val="12"/>
      <color rgb="FF00206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Gray">
        <bgColor theme="0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7" fillId="4" borderId="0" xfId="0" applyFont="1" applyFill="1"/>
    <xf numFmtId="0" fontId="7" fillId="0" borderId="0" xfId="0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textRotation="90"/>
    </xf>
    <xf numFmtId="0" fontId="11" fillId="5" borderId="1" xfId="0" applyFont="1" applyFill="1" applyBorder="1" applyAlignment="1">
      <alignment horizontal="center" vertical="center" textRotation="90"/>
    </xf>
    <xf numFmtId="0" fontId="10" fillId="2" borderId="3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vertical="center" textRotation="90"/>
    </xf>
    <xf numFmtId="0" fontId="8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5" fontId="6" fillId="4" borderId="1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textRotation="90"/>
    </xf>
    <xf numFmtId="0" fontId="11" fillId="5" borderId="3" xfId="0" applyFont="1" applyFill="1" applyBorder="1" applyAlignment="1">
      <alignment horizontal="center" vertical="center" textRotation="90"/>
    </xf>
    <xf numFmtId="0" fontId="0" fillId="10" borderId="1" xfId="0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textRotation="90" wrapText="1"/>
    </xf>
    <xf numFmtId="0" fontId="10" fillId="3" borderId="10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2"/>
  <sheetViews>
    <sheetView tabSelected="1" zoomScaleNormal="100" zoomScaleSheetLayoutView="55" workbookViewId="0">
      <pane ySplit="3" topLeftCell="A4" activePane="bottomLeft" state="frozen"/>
      <selection activeCell="E1" sqref="E1"/>
      <selection pane="bottomLeft" activeCell="A8" sqref="A8"/>
    </sheetView>
  </sheetViews>
  <sheetFormatPr baseColWidth="10" defaultColWidth="11.42578125" defaultRowHeight="15" x14ac:dyDescent="0.25"/>
  <cols>
    <col min="1" max="1" width="7" style="1" customWidth="1"/>
    <col min="2" max="2" width="17.28515625" style="1" customWidth="1"/>
    <col min="3" max="3" width="72.28515625" style="5" customWidth="1"/>
    <col min="4" max="4" width="28" style="1" customWidth="1"/>
    <col min="5" max="5" width="19.28515625" style="1" customWidth="1"/>
    <col min="6" max="6" width="5.28515625" style="4" customWidth="1"/>
    <col min="7" max="7" width="5.28515625" style="1" customWidth="1"/>
    <col min="8" max="8" width="5.28515625" style="4" customWidth="1"/>
    <col min="9" max="9" width="5.28515625" style="1" customWidth="1"/>
    <col min="10" max="10" width="9.42578125" style="1" customWidth="1"/>
    <col min="11" max="11" width="9.28515625" style="1" customWidth="1"/>
    <col min="12" max="12" width="11.5703125" style="4" customWidth="1"/>
    <col min="13" max="13" width="26" style="5" customWidth="1"/>
    <col min="14" max="14" width="11.42578125" style="1"/>
    <col min="15" max="18" width="12.7109375" style="1" bestFit="1" customWidth="1"/>
    <col min="19" max="20" width="12.140625" style="1" bestFit="1" customWidth="1"/>
    <col min="21" max="21" width="12.7109375" style="1" bestFit="1" customWidth="1"/>
    <col min="22" max="22" width="11.42578125" style="1"/>
    <col min="23" max="29" width="12.140625" style="1" bestFit="1" customWidth="1"/>
    <col min="30" max="16384" width="11.42578125" style="1"/>
  </cols>
  <sheetData>
    <row r="1" spans="1:29" ht="39" customHeight="1" x14ac:dyDescent="0.2">
      <c r="A1" s="57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29" ht="18" customHeight="1" x14ac:dyDescent="0.2">
      <c r="A2" s="59" t="s">
        <v>0</v>
      </c>
      <c r="B2" s="61" t="s">
        <v>6</v>
      </c>
      <c r="C2" s="62" t="s">
        <v>1</v>
      </c>
      <c r="D2" s="62" t="s">
        <v>2</v>
      </c>
      <c r="E2" s="61" t="s">
        <v>11</v>
      </c>
      <c r="F2" s="49" t="s">
        <v>13</v>
      </c>
      <c r="G2" s="49"/>
      <c r="H2" s="52" t="s">
        <v>14</v>
      </c>
      <c r="I2" s="52"/>
      <c r="J2" s="53" t="s">
        <v>15</v>
      </c>
      <c r="K2" s="54"/>
      <c r="L2" s="55" t="s">
        <v>23</v>
      </c>
      <c r="M2" s="50" t="s">
        <v>3</v>
      </c>
    </row>
    <row r="3" spans="1:29" ht="49.9" customHeight="1" x14ac:dyDescent="0.2">
      <c r="A3" s="60"/>
      <c r="B3" s="61"/>
      <c r="C3" s="62"/>
      <c r="D3" s="62"/>
      <c r="E3" s="61"/>
      <c r="F3" s="37" t="s">
        <v>5</v>
      </c>
      <c r="G3" s="8" t="s">
        <v>16</v>
      </c>
      <c r="H3" s="38" t="s">
        <v>9</v>
      </c>
      <c r="I3" s="9" t="s">
        <v>17</v>
      </c>
      <c r="J3" s="10" t="s">
        <v>18</v>
      </c>
      <c r="K3" s="11" t="s">
        <v>4</v>
      </c>
      <c r="L3" s="56"/>
      <c r="M3" s="51"/>
    </row>
    <row r="4" spans="1:29" ht="69.599999999999994" customHeight="1" x14ac:dyDescent="0.2">
      <c r="A4" s="13">
        <v>1</v>
      </c>
      <c r="B4" s="44" t="s">
        <v>10</v>
      </c>
      <c r="C4" s="18" t="s">
        <v>64</v>
      </c>
      <c r="D4" s="15" t="s">
        <v>35</v>
      </c>
      <c r="E4" s="6" t="s">
        <v>12</v>
      </c>
      <c r="F4" s="16">
        <v>1</v>
      </c>
      <c r="G4" s="17">
        <v>1</v>
      </c>
      <c r="H4" s="16">
        <v>1</v>
      </c>
      <c r="I4" s="17">
        <v>1</v>
      </c>
      <c r="J4" s="16">
        <v>1</v>
      </c>
      <c r="K4" s="17">
        <v>1</v>
      </c>
      <c r="L4" s="12">
        <f>SUM(F4:K4)</f>
        <v>6</v>
      </c>
      <c r="M4" s="18"/>
      <c r="O4" s="48" t="s">
        <v>8</v>
      </c>
      <c r="P4" s="48"/>
      <c r="Q4" s="48"/>
      <c r="R4" s="48"/>
      <c r="S4" s="48"/>
      <c r="T4" s="48"/>
      <c r="U4" s="48"/>
      <c r="W4" s="47" t="s">
        <v>54</v>
      </c>
      <c r="X4" s="47"/>
      <c r="Y4" s="47"/>
      <c r="Z4" s="47"/>
      <c r="AA4" s="47"/>
      <c r="AB4" s="47"/>
      <c r="AC4" s="47"/>
    </row>
    <row r="5" spans="1:29" ht="25.15" customHeight="1" x14ac:dyDescent="0.2">
      <c r="A5" s="13">
        <v>2</v>
      </c>
      <c r="B5" s="45"/>
      <c r="C5" s="18" t="s">
        <v>20</v>
      </c>
      <c r="D5" s="15" t="s">
        <v>35</v>
      </c>
      <c r="E5" s="6" t="s">
        <v>12</v>
      </c>
      <c r="F5" s="16">
        <v>1</v>
      </c>
      <c r="G5" s="17">
        <v>1</v>
      </c>
      <c r="H5" s="16">
        <v>1</v>
      </c>
      <c r="I5" s="17">
        <v>1</v>
      </c>
      <c r="J5" s="16"/>
      <c r="K5" s="17">
        <v>1</v>
      </c>
      <c r="L5" s="12">
        <f>SUM(F5:K5)</f>
        <v>5</v>
      </c>
      <c r="M5" s="18"/>
      <c r="O5" s="39" t="s">
        <v>46</v>
      </c>
      <c r="P5" s="39" t="s">
        <v>47</v>
      </c>
      <c r="Q5" s="39" t="s">
        <v>48</v>
      </c>
      <c r="R5" s="39" t="s">
        <v>49</v>
      </c>
      <c r="S5" s="39" t="s">
        <v>50</v>
      </c>
      <c r="T5" s="39" t="s">
        <v>51</v>
      </c>
      <c r="U5" s="39" t="s">
        <v>52</v>
      </c>
      <c r="W5" s="39" t="s">
        <v>46</v>
      </c>
      <c r="X5" s="39" t="s">
        <v>47</v>
      </c>
      <c r="Y5" s="39" t="s">
        <v>48</v>
      </c>
      <c r="Z5" s="39" t="s">
        <v>49</v>
      </c>
      <c r="AA5" s="39" t="s">
        <v>50</v>
      </c>
      <c r="AB5" s="39" t="s">
        <v>51</v>
      </c>
      <c r="AC5" s="39" t="s">
        <v>52</v>
      </c>
    </row>
    <row r="6" spans="1:29" ht="28.15" customHeight="1" x14ac:dyDescent="0.2">
      <c r="A6" s="13">
        <v>3</v>
      </c>
      <c r="B6" s="45"/>
      <c r="C6" s="18" t="s">
        <v>19</v>
      </c>
      <c r="D6" s="15" t="s">
        <v>35</v>
      </c>
      <c r="E6" s="6" t="s">
        <v>12</v>
      </c>
      <c r="F6" s="16">
        <v>1</v>
      </c>
      <c r="G6" s="17">
        <v>1</v>
      </c>
      <c r="H6" s="16">
        <v>1</v>
      </c>
      <c r="I6" s="17">
        <v>1</v>
      </c>
      <c r="J6" s="16"/>
      <c r="K6" s="17">
        <v>1</v>
      </c>
      <c r="L6" s="12">
        <f>SUM(F6:K6)</f>
        <v>5</v>
      </c>
      <c r="M6" s="18"/>
      <c r="O6" s="40" t="e">
        <f>IF(AND(YEAR(JunSun1)=TheYear,MONTH(JunSun1)=6),JunSun1, "")</f>
        <v>#VALUE!</v>
      </c>
      <c r="P6" s="40" t="e">
        <f>IF(AND(YEAR(JunSun1+1)=TheYear,MONTH(JunSun1+1)=6),JunSun1+1, "")</f>
        <v>#VALUE!</v>
      </c>
      <c r="Q6" s="40" t="e">
        <f>IF(AND(YEAR(JunSun1+2)=TheYear,MONTH(JunSun1+2)=6),JunSun1+2, "")</f>
        <v>#VALUE!</v>
      </c>
      <c r="R6" s="40" t="e">
        <f>IF(AND(YEAR(JunSun1+3)=TheYear,MONTH(JunSun1+3)=6),JunSun1+3, "")</f>
        <v>#VALUE!</v>
      </c>
      <c r="S6" s="40">
        <v>1</v>
      </c>
      <c r="T6" s="40">
        <v>2</v>
      </c>
      <c r="U6" s="40">
        <v>3</v>
      </c>
      <c r="W6" s="40" t="e">
        <f>IF(AND(YEAR(AugSun1)=TheYear,MONTH(AugSun1)=8),AugSun1, "")</f>
        <v>#VALUE!</v>
      </c>
      <c r="X6" s="40" t="e">
        <f>IF(AND(YEAR(AugSun1+1)=TheYear,MONTH(AugSun1+1)=8),AugSun1+1, "")</f>
        <v>#VALUE!</v>
      </c>
      <c r="Y6" s="40">
        <v>1</v>
      </c>
      <c r="Z6" s="40">
        <v>2</v>
      </c>
      <c r="AA6" s="40">
        <v>3</v>
      </c>
      <c r="AB6" s="40">
        <v>4</v>
      </c>
      <c r="AC6" s="40">
        <v>5</v>
      </c>
    </row>
    <row r="7" spans="1:29" ht="49.9" customHeight="1" x14ac:dyDescent="0.2">
      <c r="A7" s="13">
        <v>4</v>
      </c>
      <c r="B7" s="45"/>
      <c r="C7" s="18" t="s">
        <v>22</v>
      </c>
      <c r="D7" s="15" t="s">
        <v>35</v>
      </c>
      <c r="E7" s="6" t="s">
        <v>12</v>
      </c>
      <c r="F7" s="16">
        <v>1</v>
      </c>
      <c r="G7" s="17">
        <v>1</v>
      </c>
      <c r="H7" s="16">
        <v>1</v>
      </c>
      <c r="I7" s="17">
        <v>1</v>
      </c>
      <c r="J7" s="16"/>
      <c r="K7" s="17">
        <v>1</v>
      </c>
      <c r="L7" s="12">
        <f t="shared" ref="L7:L26" si="0">SUM(F7:K7)</f>
        <v>5</v>
      </c>
      <c r="M7" s="18"/>
      <c r="O7" s="40">
        <v>4</v>
      </c>
      <c r="P7" s="40">
        <v>5</v>
      </c>
      <c r="Q7" s="40">
        <v>6</v>
      </c>
      <c r="R7" s="40">
        <v>7</v>
      </c>
      <c r="S7" s="40">
        <v>8</v>
      </c>
      <c r="T7" s="40">
        <v>9</v>
      </c>
      <c r="U7" s="40">
        <v>10</v>
      </c>
      <c r="W7" s="40">
        <v>6</v>
      </c>
      <c r="X7" s="40">
        <v>7</v>
      </c>
      <c r="Y7" s="40">
        <v>8</v>
      </c>
      <c r="Z7" s="40">
        <v>9</v>
      </c>
      <c r="AA7" s="40">
        <v>10</v>
      </c>
      <c r="AB7" s="40">
        <v>11</v>
      </c>
      <c r="AC7" s="40">
        <v>12</v>
      </c>
    </row>
    <row r="8" spans="1:29" ht="60" customHeight="1" x14ac:dyDescent="0.2">
      <c r="A8" s="13">
        <v>5</v>
      </c>
      <c r="B8" s="45"/>
      <c r="C8" s="18" t="s">
        <v>21</v>
      </c>
      <c r="D8" s="15" t="s">
        <v>35</v>
      </c>
      <c r="E8" s="6" t="s">
        <v>12</v>
      </c>
      <c r="F8" s="16">
        <v>1</v>
      </c>
      <c r="G8" s="17">
        <v>1</v>
      </c>
      <c r="H8" s="16">
        <v>1</v>
      </c>
      <c r="I8" s="17">
        <v>1</v>
      </c>
      <c r="J8" s="16"/>
      <c r="K8" s="17">
        <v>1</v>
      </c>
      <c r="L8" s="12">
        <f t="shared" si="0"/>
        <v>5</v>
      </c>
      <c r="M8" s="18"/>
      <c r="O8" s="40">
        <v>11</v>
      </c>
      <c r="P8" s="40">
        <v>12</v>
      </c>
      <c r="Q8" s="40">
        <v>13</v>
      </c>
      <c r="R8" s="40">
        <v>14</v>
      </c>
      <c r="S8" s="40">
        <v>15</v>
      </c>
      <c r="T8" s="40">
        <v>16</v>
      </c>
      <c r="U8" s="40">
        <v>17</v>
      </c>
      <c r="W8" s="40">
        <v>13</v>
      </c>
      <c r="X8" s="40">
        <v>14</v>
      </c>
      <c r="Y8" s="40">
        <v>15</v>
      </c>
      <c r="Z8" s="40">
        <v>16</v>
      </c>
      <c r="AA8" s="40">
        <v>17</v>
      </c>
      <c r="AB8" s="40">
        <v>18</v>
      </c>
      <c r="AC8" s="40">
        <v>19</v>
      </c>
    </row>
    <row r="9" spans="1:29" ht="60" customHeight="1" x14ac:dyDescent="0.2">
      <c r="A9" s="13">
        <v>6</v>
      </c>
      <c r="B9" s="45"/>
      <c r="C9" s="18" t="s">
        <v>57</v>
      </c>
      <c r="D9" s="15" t="s">
        <v>58</v>
      </c>
      <c r="E9" s="6" t="s">
        <v>34</v>
      </c>
      <c r="F9" s="33"/>
      <c r="G9" s="34"/>
      <c r="H9" s="35"/>
      <c r="I9" s="36"/>
      <c r="J9" s="35"/>
      <c r="K9" s="36"/>
      <c r="L9" s="33"/>
      <c r="M9" s="34"/>
      <c r="O9" s="40">
        <v>18</v>
      </c>
      <c r="P9" s="40">
        <v>19</v>
      </c>
      <c r="Q9" s="40">
        <v>20</v>
      </c>
      <c r="R9" s="40">
        <v>21</v>
      </c>
      <c r="S9" s="40">
        <v>22</v>
      </c>
      <c r="T9" s="40">
        <v>23</v>
      </c>
      <c r="U9" s="40">
        <v>24</v>
      </c>
      <c r="W9" s="40">
        <v>20</v>
      </c>
      <c r="X9" s="40">
        <v>21</v>
      </c>
      <c r="Y9" s="40">
        <v>22</v>
      </c>
      <c r="Z9" s="40">
        <v>23</v>
      </c>
      <c r="AA9" s="40">
        <v>24</v>
      </c>
      <c r="AB9" s="40">
        <v>25</v>
      </c>
      <c r="AC9" s="40">
        <v>26</v>
      </c>
    </row>
    <row r="10" spans="1:29" s="2" customFormat="1" ht="43.9" customHeight="1" x14ac:dyDescent="0.2">
      <c r="A10" s="13">
        <v>7</v>
      </c>
      <c r="B10" s="45"/>
      <c r="C10" s="25" t="s">
        <v>30</v>
      </c>
      <c r="D10" s="26" t="s">
        <v>42</v>
      </c>
      <c r="E10" s="26" t="s">
        <v>25</v>
      </c>
      <c r="F10" s="27">
        <v>1</v>
      </c>
      <c r="G10" s="28"/>
      <c r="H10" s="29"/>
      <c r="I10" s="30">
        <v>1</v>
      </c>
      <c r="J10" s="29">
        <v>1</v>
      </c>
      <c r="K10" s="30">
        <v>1</v>
      </c>
      <c r="L10" s="31">
        <f t="shared" si="0"/>
        <v>4</v>
      </c>
      <c r="M10" s="32"/>
      <c r="O10" s="40">
        <v>25</v>
      </c>
      <c r="P10" s="40">
        <v>26</v>
      </c>
      <c r="Q10" s="40">
        <v>27</v>
      </c>
      <c r="R10" s="40">
        <v>28</v>
      </c>
      <c r="S10" s="40">
        <v>29</v>
      </c>
      <c r="T10" s="40">
        <v>30</v>
      </c>
      <c r="U10" s="40" t="e">
        <f>IF(AND(YEAR(JunSun1+34)=TheYear,MONTH(JunSun1+34)=6),JunSun1+34, "")</f>
        <v>#VALUE!</v>
      </c>
      <c r="W10" s="40">
        <v>27</v>
      </c>
      <c r="X10" s="40">
        <v>28</v>
      </c>
      <c r="Y10" s="40">
        <v>29</v>
      </c>
      <c r="Z10" s="40">
        <v>30</v>
      </c>
      <c r="AA10" s="40">
        <v>31</v>
      </c>
      <c r="AB10" s="40" t="e">
        <f>IF(AND(YEAR(AugSun1+33)=TheYear,MONTH(AugSun1+33)=8),AugSun1+33, "")</f>
        <v>#VALUE!</v>
      </c>
      <c r="AC10" s="40" t="e">
        <f>IF(AND(YEAR(AugSun1+34)=TheYear,MONTH(AugSun1+34)=8),AugSun1+34, "")</f>
        <v>#VALUE!</v>
      </c>
    </row>
    <row r="11" spans="1:29" s="2" customFormat="1" ht="39" customHeight="1" x14ac:dyDescent="0.2">
      <c r="A11" s="13">
        <v>8</v>
      </c>
      <c r="B11" s="45"/>
      <c r="C11" s="25" t="s">
        <v>24</v>
      </c>
      <c r="D11" s="26" t="s">
        <v>42</v>
      </c>
      <c r="E11" s="26" t="s">
        <v>25</v>
      </c>
      <c r="F11" s="27">
        <v>1</v>
      </c>
      <c r="G11" s="28"/>
      <c r="H11" s="29"/>
      <c r="I11" s="30">
        <v>1</v>
      </c>
      <c r="J11" s="29"/>
      <c r="K11" s="30">
        <v>1</v>
      </c>
      <c r="L11" s="31">
        <f t="shared" si="0"/>
        <v>3</v>
      </c>
      <c r="M11" s="32"/>
      <c r="O11" s="47" t="s">
        <v>53</v>
      </c>
      <c r="P11" s="47"/>
      <c r="Q11" s="47"/>
      <c r="R11" s="47"/>
      <c r="S11" s="47"/>
      <c r="T11" s="47"/>
      <c r="U11" s="47"/>
      <c r="W11" s="47" t="s">
        <v>73</v>
      </c>
      <c r="X11" s="47"/>
      <c r="Y11" s="47"/>
      <c r="Z11" s="47"/>
      <c r="AA11" s="47"/>
      <c r="AB11" s="47"/>
      <c r="AC11" s="47"/>
    </row>
    <row r="12" spans="1:29" s="2" customFormat="1" ht="39.75" customHeight="1" x14ac:dyDescent="0.2">
      <c r="A12" s="13">
        <v>9</v>
      </c>
      <c r="B12" s="45"/>
      <c r="C12" s="18" t="s">
        <v>27</v>
      </c>
      <c r="D12" s="7" t="s">
        <v>55</v>
      </c>
      <c r="E12" s="7" t="s">
        <v>12</v>
      </c>
      <c r="F12" s="19">
        <v>1</v>
      </c>
      <c r="G12" s="20">
        <v>1</v>
      </c>
      <c r="H12" s="21">
        <v>1</v>
      </c>
      <c r="I12" s="22">
        <v>1</v>
      </c>
      <c r="J12" s="21">
        <v>1</v>
      </c>
      <c r="K12" s="22">
        <v>1</v>
      </c>
      <c r="L12" s="12">
        <f t="shared" si="0"/>
        <v>6</v>
      </c>
      <c r="M12" s="23"/>
      <c r="O12" s="39" t="s">
        <v>46</v>
      </c>
      <c r="P12" s="39" t="s">
        <v>47</v>
      </c>
      <c r="Q12" s="39" t="s">
        <v>48</v>
      </c>
      <c r="R12" s="39" t="s">
        <v>49</v>
      </c>
      <c r="S12" s="39" t="s">
        <v>50</v>
      </c>
      <c r="T12" s="39" t="s">
        <v>51</v>
      </c>
      <c r="U12" s="39" t="s">
        <v>52</v>
      </c>
      <c r="W12" s="39" t="s">
        <v>46</v>
      </c>
      <c r="X12" s="39" t="s">
        <v>47</v>
      </c>
      <c r="Y12" s="39" t="s">
        <v>48</v>
      </c>
      <c r="Z12" s="39" t="s">
        <v>49</v>
      </c>
      <c r="AA12" s="39" t="s">
        <v>50</v>
      </c>
      <c r="AB12" s="39" t="s">
        <v>51</v>
      </c>
      <c r="AC12" s="39" t="s">
        <v>52</v>
      </c>
    </row>
    <row r="13" spans="1:29" s="2" customFormat="1" ht="39.75" customHeight="1" x14ac:dyDescent="0.2">
      <c r="A13" s="13">
        <v>10</v>
      </c>
      <c r="B13" s="45"/>
      <c r="C13" s="18" t="s">
        <v>28</v>
      </c>
      <c r="D13" s="7" t="s">
        <v>56</v>
      </c>
      <c r="E13" s="7" t="s">
        <v>12</v>
      </c>
      <c r="F13" s="19">
        <v>1</v>
      </c>
      <c r="G13" s="20">
        <v>1</v>
      </c>
      <c r="H13" s="21">
        <v>1</v>
      </c>
      <c r="I13" s="22">
        <v>1</v>
      </c>
      <c r="J13" s="21"/>
      <c r="K13" s="22">
        <v>1</v>
      </c>
      <c r="L13" s="12">
        <f t="shared" si="0"/>
        <v>5</v>
      </c>
      <c r="M13" s="23"/>
      <c r="O13" s="40" t="e">
        <f>IF(AND(YEAR(JulSun1)=TheYear,MONTH(JulSun1)=7),JulSun1, "")</f>
        <v>#VALUE!</v>
      </c>
      <c r="P13" s="40" t="e">
        <f>IF(AND(YEAR(JulSun1+1)=TheYear,MONTH(JulSun1+1)=7),JulSun1+1, "")</f>
        <v>#VALUE!</v>
      </c>
      <c r="Q13" s="40" t="e">
        <f>IF(AND(YEAR(JulSun1+2)=TheYear,MONTH(JulSun1+2)=7),JulSun1+2, "")</f>
        <v>#VALUE!</v>
      </c>
      <c r="R13" s="40" t="e">
        <f>IF(AND(YEAR(JulSun1+3)=TheYear,MONTH(JulSun1+3)=7),JulSun1+3, "")</f>
        <v>#VALUE!</v>
      </c>
      <c r="S13" s="40" t="e">
        <f>IF(AND(YEAR(JulSun1+4)=TheYear,MONTH(JulSun1+4)=7),JulSun1+4, "")</f>
        <v>#VALUE!</v>
      </c>
      <c r="T13" s="40" t="e">
        <f>IF(AND(YEAR(JulSun1+5)=TheYear,MONTH(JulSun1+5)=7),JulSun1+5, "")</f>
        <v>#VALUE!</v>
      </c>
      <c r="U13" s="40">
        <v>1</v>
      </c>
      <c r="W13" s="40" t="e">
        <f>IF(AND(YEAR(SepSun1)=TheYear,MONTH(SepSun1)=9),SepSun1, "")</f>
        <v>#VALUE!</v>
      </c>
      <c r="X13" s="40" t="e">
        <f>IF(AND(YEAR(SepSun1+1)=TheYear,MONTH(SepSun1+1)=9),SepSun1+1, "")</f>
        <v>#VALUE!</v>
      </c>
      <c r="Y13" s="40" t="e">
        <f>IF(AND(YEAR(SepSun1+2)=TheYear,MONTH(SepSun1+2)=9),SepSun1+2, "")</f>
        <v>#VALUE!</v>
      </c>
      <c r="Z13" s="40" t="e">
        <f>IF(AND(YEAR(SepSun1+3)=TheYear,MONTH(SepSun1+3)=9),SepSun1+3, "")</f>
        <v>#VALUE!</v>
      </c>
      <c r="AA13" s="40" t="e">
        <f>IF(AND(YEAR(SepSun1+4)=TheYear,MONTH(SepSun1+4)=9),SepSun1+4, "")</f>
        <v>#VALUE!</v>
      </c>
      <c r="AB13" s="40">
        <v>1</v>
      </c>
      <c r="AC13" s="40">
        <v>2</v>
      </c>
    </row>
    <row r="14" spans="1:29" s="2" customFormat="1" ht="39.75" customHeight="1" x14ac:dyDescent="0.2">
      <c r="A14" s="13">
        <v>11</v>
      </c>
      <c r="B14" s="45"/>
      <c r="C14" s="25" t="s">
        <v>65</v>
      </c>
      <c r="D14" s="26" t="s">
        <v>43</v>
      </c>
      <c r="E14" s="26" t="s">
        <v>25</v>
      </c>
      <c r="F14" s="27">
        <v>1</v>
      </c>
      <c r="G14" s="28">
        <v>1</v>
      </c>
      <c r="H14" s="29">
        <v>1</v>
      </c>
      <c r="I14" s="30">
        <v>1</v>
      </c>
      <c r="J14" s="29">
        <v>1</v>
      </c>
      <c r="K14" s="30">
        <v>1</v>
      </c>
      <c r="L14" s="31">
        <f t="shared" si="0"/>
        <v>6</v>
      </c>
      <c r="M14" s="32"/>
      <c r="O14" s="40">
        <v>2</v>
      </c>
      <c r="P14" s="40">
        <v>3</v>
      </c>
      <c r="Q14" s="40">
        <v>4</v>
      </c>
      <c r="R14" s="40">
        <v>5</v>
      </c>
      <c r="S14" s="40">
        <v>6</v>
      </c>
      <c r="T14" s="40">
        <v>7</v>
      </c>
      <c r="U14" s="40">
        <v>8</v>
      </c>
      <c r="W14" s="40">
        <v>3</v>
      </c>
      <c r="X14" s="40">
        <v>4</v>
      </c>
      <c r="Y14" s="40">
        <v>5</v>
      </c>
      <c r="Z14" s="40">
        <v>6</v>
      </c>
      <c r="AA14" s="40">
        <v>7</v>
      </c>
      <c r="AB14" s="40">
        <v>8</v>
      </c>
      <c r="AC14" s="40">
        <v>9</v>
      </c>
    </row>
    <row r="15" spans="1:29" s="2" customFormat="1" ht="39.75" customHeight="1" x14ac:dyDescent="0.2">
      <c r="A15" s="13">
        <v>12</v>
      </c>
      <c r="B15" s="45"/>
      <c r="C15" s="18" t="s">
        <v>66</v>
      </c>
      <c r="D15" s="7" t="s">
        <v>45</v>
      </c>
      <c r="E15" s="7" t="s">
        <v>12</v>
      </c>
      <c r="F15" s="19">
        <v>1</v>
      </c>
      <c r="G15" s="20">
        <v>1</v>
      </c>
      <c r="H15" s="21">
        <v>1</v>
      </c>
      <c r="I15" s="22">
        <v>1</v>
      </c>
      <c r="J15" s="21"/>
      <c r="K15" s="22">
        <v>1</v>
      </c>
      <c r="L15" s="12">
        <f t="shared" si="0"/>
        <v>5</v>
      </c>
      <c r="M15" s="23"/>
      <c r="O15" s="40">
        <v>9</v>
      </c>
      <c r="P15" s="40">
        <v>10</v>
      </c>
      <c r="Q15" s="40">
        <v>11</v>
      </c>
      <c r="R15" s="40">
        <v>12</v>
      </c>
      <c r="S15" s="40">
        <v>13</v>
      </c>
      <c r="T15" s="40">
        <v>14</v>
      </c>
      <c r="U15" s="40">
        <v>15</v>
      </c>
      <c r="W15" s="40">
        <v>10</v>
      </c>
      <c r="X15" s="40">
        <v>11</v>
      </c>
      <c r="Y15" s="40">
        <v>12</v>
      </c>
      <c r="Z15" s="40">
        <v>13</v>
      </c>
      <c r="AA15" s="40">
        <v>14</v>
      </c>
      <c r="AB15" s="40">
        <v>15</v>
      </c>
      <c r="AC15" s="40">
        <v>16</v>
      </c>
    </row>
    <row r="16" spans="1:29" s="2" customFormat="1" ht="39.75" customHeight="1" x14ac:dyDescent="0.2">
      <c r="A16" s="13">
        <v>13</v>
      </c>
      <c r="B16" s="45"/>
      <c r="C16" s="24" t="s">
        <v>67</v>
      </c>
      <c r="D16" s="7" t="s">
        <v>45</v>
      </c>
      <c r="E16" s="7" t="s">
        <v>34</v>
      </c>
      <c r="F16" s="33"/>
      <c r="G16" s="34"/>
      <c r="H16" s="35"/>
      <c r="I16" s="36"/>
      <c r="J16" s="35"/>
      <c r="K16" s="36"/>
      <c r="L16" s="33"/>
      <c r="M16" s="34"/>
      <c r="O16" s="40">
        <v>16</v>
      </c>
      <c r="P16" s="40">
        <v>17</v>
      </c>
      <c r="Q16" s="40">
        <v>18</v>
      </c>
      <c r="R16" s="40">
        <v>19</v>
      </c>
      <c r="S16" s="40">
        <v>20</v>
      </c>
      <c r="T16" s="40">
        <v>21</v>
      </c>
      <c r="U16" s="40">
        <v>22</v>
      </c>
      <c r="W16" s="40">
        <v>17</v>
      </c>
      <c r="X16" s="40">
        <v>18</v>
      </c>
      <c r="Y16" s="40">
        <v>19</v>
      </c>
      <c r="Z16" s="40">
        <v>20</v>
      </c>
      <c r="AA16" s="40">
        <v>21</v>
      </c>
      <c r="AB16" s="40">
        <v>22</v>
      </c>
      <c r="AC16" s="40">
        <v>23</v>
      </c>
    </row>
    <row r="17" spans="1:29" s="2" customFormat="1" ht="39.75" customHeight="1" x14ac:dyDescent="0.2">
      <c r="A17" s="13">
        <v>14</v>
      </c>
      <c r="B17" s="45"/>
      <c r="C17" s="25" t="s">
        <v>59</v>
      </c>
      <c r="D17" s="26" t="s">
        <v>44</v>
      </c>
      <c r="E17" s="26" t="s">
        <v>25</v>
      </c>
      <c r="F17" s="27">
        <v>1</v>
      </c>
      <c r="G17" s="28">
        <v>1</v>
      </c>
      <c r="H17" s="29">
        <v>1</v>
      </c>
      <c r="I17" s="30">
        <v>1</v>
      </c>
      <c r="J17" s="29">
        <v>1</v>
      </c>
      <c r="K17" s="30">
        <v>1</v>
      </c>
      <c r="L17" s="31">
        <f t="shared" si="0"/>
        <v>6</v>
      </c>
      <c r="M17" s="32"/>
      <c r="O17" s="40">
        <v>23</v>
      </c>
      <c r="P17" s="40">
        <v>24</v>
      </c>
      <c r="Q17" s="40">
        <v>25</v>
      </c>
      <c r="R17" s="40">
        <v>26</v>
      </c>
      <c r="S17" s="40">
        <v>27</v>
      </c>
      <c r="T17" s="40">
        <v>28</v>
      </c>
      <c r="U17" s="40">
        <v>29</v>
      </c>
      <c r="W17" s="40">
        <v>24</v>
      </c>
      <c r="X17" s="40">
        <v>25</v>
      </c>
      <c r="Y17" s="40">
        <v>26</v>
      </c>
      <c r="Z17" s="40">
        <v>27</v>
      </c>
      <c r="AA17" s="40">
        <v>28</v>
      </c>
      <c r="AB17" s="40">
        <v>29</v>
      </c>
      <c r="AC17" s="40">
        <v>30</v>
      </c>
    </row>
    <row r="18" spans="1:29" s="2" customFormat="1" ht="39.75" customHeight="1" x14ac:dyDescent="0.2">
      <c r="A18" s="13">
        <v>15</v>
      </c>
      <c r="B18" s="45"/>
      <c r="C18" s="18" t="s">
        <v>68</v>
      </c>
      <c r="D18" s="7" t="s">
        <v>36</v>
      </c>
      <c r="E18" s="7" t="s">
        <v>12</v>
      </c>
      <c r="F18" s="19">
        <v>1</v>
      </c>
      <c r="G18" s="20">
        <v>1</v>
      </c>
      <c r="H18" s="21">
        <v>1</v>
      </c>
      <c r="I18" s="22">
        <v>1</v>
      </c>
      <c r="J18" s="21"/>
      <c r="K18" s="22">
        <v>1</v>
      </c>
      <c r="L18" s="12">
        <f t="shared" si="0"/>
        <v>5</v>
      </c>
      <c r="M18" s="23"/>
      <c r="O18" s="40">
        <v>30</v>
      </c>
      <c r="P18" s="40">
        <v>31</v>
      </c>
      <c r="Q18" s="40" t="e">
        <f>IF(AND(YEAR(JulSun1+37)=TheYear,MONTH(JulSun1+37)=7),JulSun1+37, "")</f>
        <v>#VALUE!</v>
      </c>
      <c r="R18" s="40" t="e">
        <f>IF(AND(YEAR(JulSun1+38)=TheYear,MONTH(JulSun1+38)=7),JulSun1+38, "")</f>
        <v>#VALUE!</v>
      </c>
      <c r="S18" s="40" t="e">
        <f>IF(AND(YEAR(JulSun1+39)=TheYear,MONTH(JulSun1+39)=7),JulSun1+39, "")</f>
        <v>#VALUE!</v>
      </c>
      <c r="T18" s="40" t="e">
        <f>IF(AND(YEAR(JulSun1+40)=TheYear,MONTH(JulSun1+40)=7),JulSun1+40, "")</f>
        <v>#VALUE!</v>
      </c>
      <c r="U18" s="40" t="e">
        <f>IF(AND(YEAR(JulSun1+41)=TheYear,MONTH(JulSun1+41)=7),JulSun1+41, "")</f>
        <v>#VALUE!</v>
      </c>
    </row>
    <row r="19" spans="1:29" s="2" customFormat="1" ht="39.75" customHeight="1" x14ac:dyDescent="0.2">
      <c r="A19" s="13">
        <v>16</v>
      </c>
      <c r="B19" s="45"/>
      <c r="C19" s="25" t="s">
        <v>69</v>
      </c>
      <c r="D19" s="26" t="s">
        <v>37</v>
      </c>
      <c r="E19" s="26" t="s">
        <v>25</v>
      </c>
      <c r="F19" s="27">
        <v>1</v>
      </c>
      <c r="G19" s="28">
        <v>1</v>
      </c>
      <c r="H19" s="29">
        <v>1</v>
      </c>
      <c r="I19" s="30">
        <v>1</v>
      </c>
      <c r="J19" s="29">
        <v>1</v>
      </c>
      <c r="K19" s="30">
        <v>1</v>
      </c>
      <c r="L19" s="31">
        <f t="shared" si="0"/>
        <v>6</v>
      </c>
      <c r="M19" s="32"/>
    </row>
    <row r="20" spans="1:29" s="2" customFormat="1" ht="39.75" customHeight="1" x14ac:dyDescent="0.2">
      <c r="A20" s="13">
        <v>17</v>
      </c>
      <c r="B20" s="45"/>
      <c r="C20" s="18" t="s">
        <v>31</v>
      </c>
      <c r="D20" s="7" t="s">
        <v>38</v>
      </c>
      <c r="E20" s="7" t="s">
        <v>34</v>
      </c>
      <c r="F20" s="33"/>
      <c r="G20" s="34"/>
      <c r="H20" s="35"/>
      <c r="I20" s="36"/>
      <c r="J20" s="35"/>
      <c r="K20" s="36"/>
      <c r="L20" s="33"/>
      <c r="M20" s="34"/>
    </row>
    <row r="21" spans="1:29" s="2" customFormat="1" ht="39.75" customHeight="1" x14ac:dyDescent="0.2">
      <c r="A21" s="13">
        <v>18</v>
      </c>
      <c r="B21" s="45"/>
      <c r="C21" s="18" t="s">
        <v>32</v>
      </c>
      <c r="D21" s="7" t="s">
        <v>39</v>
      </c>
      <c r="E21" s="7" t="s">
        <v>34</v>
      </c>
      <c r="F21" s="33"/>
      <c r="G21" s="34"/>
      <c r="H21" s="35"/>
      <c r="I21" s="36"/>
      <c r="J21" s="35"/>
      <c r="K21" s="36"/>
      <c r="L21" s="33"/>
      <c r="M21" s="34"/>
    </row>
    <row r="22" spans="1:29" s="2" customFormat="1" ht="39.75" customHeight="1" x14ac:dyDescent="0.2">
      <c r="A22" s="13">
        <v>19</v>
      </c>
      <c r="B22" s="45"/>
      <c r="C22" s="18" t="s">
        <v>33</v>
      </c>
      <c r="D22" s="7" t="s">
        <v>40</v>
      </c>
      <c r="E22" s="7" t="s">
        <v>12</v>
      </c>
      <c r="F22" s="19">
        <v>1</v>
      </c>
      <c r="G22" s="20">
        <v>1</v>
      </c>
      <c r="H22" s="21">
        <v>1</v>
      </c>
      <c r="I22" s="22">
        <v>1</v>
      </c>
      <c r="J22" s="21"/>
      <c r="K22" s="22"/>
      <c r="L22" s="12">
        <f t="shared" si="0"/>
        <v>4</v>
      </c>
      <c r="M22" s="23"/>
    </row>
    <row r="23" spans="1:29" s="2" customFormat="1" ht="39.75" customHeight="1" x14ac:dyDescent="0.2">
      <c r="A23" s="13">
        <v>20</v>
      </c>
      <c r="B23" s="45"/>
      <c r="C23" s="18" t="s">
        <v>70</v>
      </c>
      <c r="D23" s="7" t="s">
        <v>41</v>
      </c>
      <c r="E23" s="7" t="s">
        <v>12</v>
      </c>
      <c r="F23" s="19"/>
      <c r="G23" s="20"/>
      <c r="H23" s="21"/>
      <c r="I23" s="22"/>
      <c r="J23" s="21">
        <v>1</v>
      </c>
      <c r="K23" s="22">
        <v>1</v>
      </c>
      <c r="L23" s="12">
        <f t="shared" si="0"/>
        <v>2</v>
      </c>
      <c r="M23" s="23"/>
    </row>
    <row r="24" spans="1:29" s="2" customFormat="1" ht="39.75" customHeight="1" x14ac:dyDescent="0.2">
      <c r="A24" s="13">
        <v>21</v>
      </c>
      <c r="B24" s="45"/>
      <c r="C24" s="18" t="s">
        <v>71</v>
      </c>
      <c r="D24" s="7" t="s">
        <v>29</v>
      </c>
      <c r="E24" s="7" t="s">
        <v>34</v>
      </c>
      <c r="F24" s="33"/>
      <c r="G24" s="34"/>
      <c r="H24" s="35"/>
      <c r="I24" s="36"/>
      <c r="J24" s="35"/>
      <c r="K24" s="36"/>
      <c r="L24" s="34"/>
      <c r="M24" s="34"/>
    </row>
    <row r="25" spans="1:29" s="2" customFormat="1" ht="41.25" customHeight="1" x14ac:dyDescent="0.2">
      <c r="A25" s="13">
        <v>22</v>
      </c>
      <c r="B25" s="45"/>
      <c r="C25" s="14" t="s">
        <v>7</v>
      </c>
      <c r="D25" s="41" t="s">
        <v>60</v>
      </c>
      <c r="E25" s="7" t="s">
        <v>12</v>
      </c>
      <c r="F25" s="19"/>
      <c r="G25" s="20"/>
      <c r="H25" s="21"/>
      <c r="I25" s="22"/>
      <c r="J25" s="21"/>
      <c r="K25" s="22"/>
      <c r="L25" s="12"/>
      <c r="M25" s="23"/>
    </row>
    <row r="26" spans="1:29" s="2" customFormat="1" ht="41.25" customHeight="1" x14ac:dyDescent="0.2">
      <c r="A26" s="13">
        <v>23</v>
      </c>
      <c r="B26" s="45"/>
      <c r="C26" s="18" t="s">
        <v>72</v>
      </c>
      <c r="D26" s="41" t="s">
        <v>63</v>
      </c>
      <c r="E26" s="7" t="s">
        <v>12</v>
      </c>
      <c r="F26" s="19">
        <v>1</v>
      </c>
      <c r="G26" s="20">
        <v>1</v>
      </c>
      <c r="H26" s="21">
        <v>1</v>
      </c>
      <c r="I26" s="22">
        <v>1</v>
      </c>
      <c r="J26" s="21"/>
      <c r="K26" s="22"/>
      <c r="L26" s="12">
        <f t="shared" si="0"/>
        <v>4</v>
      </c>
      <c r="M26" s="23"/>
    </row>
    <row r="27" spans="1:29" s="3" customFormat="1" ht="47.45" customHeight="1" x14ac:dyDescent="0.2">
      <c r="A27" s="13">
        <v>24</v>
      </c>
      <c r="B27" s="46"/>
      <c r="C27" s="42" t="s">
        <v>61</v>
      </c>
      <c r="D27" s="41" t="s">
        <v>62</v>
      </c>
      <c r="E27" s="43" t="s">
        <v>34</v>
      </c>
      <c r="F27" s="33"/>
      <c r="G27" s="34"/>
      <c r="H27" s="35"/>
      <c r="I27" s="36"/>
      <c r="J27" s="35"/>
      <c r="K27" s="36"/>
      <c r="L27" s="34"/>
      <c r="M27" s="34"/>
    </row>
    <row r="28" spans="1:29" ht="26.25" customHeight="1" x14ac:dyDescent="0.25"/>
    <row r="29" spans="1:29" ht="26.25" customHeight="1" x14ac:dyDescent="0.25"/>
    <row r="30" spans="1:29" ht="26.25" customHeight="1" x14ac:dyDescent="0.25"/>
    <row r="31" spans="1:29" ht="26.25" customHeight="1" x14ac:dyDescent="0.25"/>
    <row r="32" spans="1:29" ht="26.25" customHeight="1" x14ac:dyDescent="0.25"/>
  </sheetData>
  <mergeCells count="16">
    <mergeCell ref="A1:M1"/>
    <mergeCell ref="A2:A3"/>
    <mergeCell ref="B2:B3"/>
    <mergeCell ref="C2:C3"/>
    <mergeCell ref="D2:D3"/>
    <mergeCell ref="E2:E3"/>
    <mergeCell ref="F2:G2"/>
    <mergeCell ref="M2:M3"/>
    <mergeCell ref="H2:I2"/>
    <mergeCell ref="J2:K2"/>
    <mergeCell ref="L2:L3"/>
    <mergeCell ref="B4:B27"/>
    <mergeCell ref="W11:AC11"/>
    <mergeCell ref="O11:U11"/>
    <mergeCell ref="W4:AC4"/>
    <mergeCell ref="O4:U4"/>
  </mergeCells>
  <conditionalFormatting sqref="O12:U12 O11 W4 W5:AC5">
    <cfRule type="containsErrors" dxfId="13" priority="15">
      <formula>ISERROR(O4)</formula>
    </cfRule>
    <cfRule type="containsBlanks" dxfId="12" priority="16">
      <formula>LEN(TRIM(O4))=0</formula>
    </cfRule>
  </conditionalFormatting>
  <conditionalFormatting sqref="O4:U10">
    <cfRule type="containsErrors" dxfId="11" priority="17">
      <formula>ISERROR(O4)</formula>
    </cfRule>
    <cfRule type="containsBlanks" dxfId="10" priority="18">
      <formula>LEN(TRIM(O4))=0</formula>
    </cfRule>
  </conditionalFormatting>
  <conditionalFormatting sqref="W11">
    <cfRule type="containsErrors" dxfId="9" priority="11">
      <formula>ISERROR(W11)</formula>
    </cfRule>
    <cfRule type="containsBlanks" dxfId="8" priority="12">
      <formula>LEN(TRIM(W11))=0</formula>
    </cfRule>
  </conditionalFormatting>
  <conditionalFormatting sqref="W12:AC12">
    <cfRule type="containsErrors" dxfId="7" priority="9">
      <formula>ISERROR(W12)</formula>
    </cfRule>
    <cfRule type="containsBlanks" dxfId="6" priority="10">
      <formula>LEN(TRIM(W12))=0</formula>
    </cfRule>
  </conditionalFormatting>
  <conditionalFormatting sqref="O13:U18">
    <cfRule type="containsErrors" dxfId="5" priority="5">
      <formula>ISERROR(O13)</formula>
    </cfRule>
    <cfRule type="containsBlanks" dxfId="4" priority="6">
      <formula>LEN(TRIM(O13))=0</formula>
    </cfRule>
  </conditionalFormatting>
  <conditionalFormatting sqref="W6:AC10">
    <cfRule type="containsErrors" dxfId="3" priority="3">
      <formula>ISERROR(W6)</formula>
    </cfRule>
    <cfRule type="containsBlanks" dxfId="2" priority="4">
      <formula>LEN(TRIM(W6))=0</formula>
    </cfRule>
  </conditionalFormatting>
  <conditionalFormatting sqref="W13:AC17">
    <cfRule type="containsErrors" dxfId="1" priority="1">
      <formula>ISERROR(W13)</formula>
    </cfRule>
    <cfRule type="containsBlanks" dxfId="0" priority="2">
      <formula>LEN(TRIM(W13))=0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119" scale="40" orientation="landscape" r:id="rId1"/>
  <headerFooter>
    <oddHeader>&amp;R&amp;12Dirección de Evaluación de Docentes y Directivos
EMS</oddHeader>
    <oddFooter>&amp;R&amp;D</oddFooter>
  </headerFooter>
  <colBreaks count="8" manualBreakCount="8">
    <brk id="36" min="2" max="40" man="1"/>
    <brk id="61" min="2" max="40" man="1"/>
    <brk id="86" min="2" max="40" man="1"/>
    <brk id="111" min="2" max="40" man="1"/>
    <brk id="136" min="2" max="40" man="1"/>
    <brk id="161" min="2" max="40" man="1"/>
    <brk id="186" min="2" max="40" man="1"/>
    <brk id="211" min="2" max="40" man="1"/>
  </colBreaks>
  <ignoredErrors>
    <ignoredError sqref="O6 P6:R6 O13:T13 Q18:U18 U10 W6:AC1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Etapa_1</vt:lpstr>
      <vt:lpstr>TheYear</vt:lpstr>
      <vt:lpstr>Etapa_1!Títulos_a_imprimir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Fabiola Perez Herrera</dc:creator>
  <cp:lastModifiedBy>Adriana Felisa Chavez de la Pena</cp:lastModifiedBy>
  <cp:lastPrinted>2018-06-06T14:54:06Z</cp:lastPrinted>
  <dcterms:created xsi:type="dcterms:W3CDTF">2017-01-06T15:30:21Z</dcterms:created>
  <dcterms:modified xsi:type="dcterms:W3CDTF">2018-06-06T17:59:09Z</dcterms:modified>
</cp:coreProperties>
</file>